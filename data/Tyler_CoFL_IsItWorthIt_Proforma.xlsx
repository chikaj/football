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ate\projects\football\data\"/>
    </mc:Choice>
  </mc:AlternateContent>
  <xr:revisionPtr revIDLastSave="0" documentId="13_ncr:1_{D625D43A-5B6E-4FDE-978B-17738B5A9E46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1. Cover &amp; Assumptions" sheetId="1" r:id="rId1"/>
    <sheet name="2. Initial Investment" sheetId="2" r:id="rId2"/>
    <sheet name="3. Rose Stadium Detail" sheetId="3" r:id="rId3"/>
    <sheet name="4. Year 1 Proforma" sheetId="4" r:id="rId4"/>
    <sheet name="5. 5-Year Forecast" sheetId="5" r:id="rId5"/>
    <sheet name="6. 10-Year Forecast" sheetId="6" r:id="rId6"/>
    <sheet name="Nates capital budgeting" sheetId="11" r:id="rId7"/>
    <sheet name="Nates screenshots" sheetId="12" r:id="rId8"/>
    <sheet name="7. Sponsorship Plan" sheetId="7" r:id="rId9"/>
    <sheet name="8. Market &amp; Catchment" sheetId="8" r:id="rId10"/>
    <sheet name="9. Additional Costs Checklist" sheetId="9" r:id="rId11"/>
    <sheet name="10. Required Employees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1" l="1"/>
  <c r="H39" i="11"/>
  <c r="I29" i="11"/>
  <c r="I27" i="11"/>
  <c r="H27" i="11"/>
  <c r="I28" i="11"/>
  <c r="H28" i="11"/>
  <c r="G37" i="11"/>
  <c r="G30" i="11"/>
  <c r="G29" i="11"/>
  <c r="G28" i="11"/>
  <c r="E28" i="11"/>
  <c r="C7" i="11"/>
  <c r="B5" i="11"/>
  <c r="B7" i="11" s="1"/>
  <c r="D28" i="11" s="1"/>
  <c r="E82" i="4"/>
  <c r="E63" i="4"/>
  <c r="E7" i="3"/>
  <c r="B5" i="6"/>
  <c r="G27" i="11"/>
  <c r="F27" i="11"/>
  <c r="C27" i="11"/>
  <c r="E18" i="4"/>
  <c r="O11" i="11"/>
  <c r="P11" i="11"/>
  <c r="O13" i="11"/>
  <c r="P13" i="11"/>
  <c r="N11" i="11"/>
  <c r="N13" i="11"/>
  <c r="M13" i="11"/>
  <c r="M11" i="11"/>
  <c r="C11" i="11"/>
  <c r="B15" i="4"/>
  <c r="E15" i="4" s="1"/>
  <c r="B12" i="4"/>
  <c r="B11" i="4"/>
  <c r="E10" i="4"/>
  <c r="B27" i="11"/>
  <c r="K23" i="11"/>
  <c r="J23" i="11"/>
  <c r="I23" i="11"/>
  <c r="H23" i="11"/>
  <c r="G23" i="11"/>
  <c r="F23" i="11"/>
  <c r="E23" i="11"/>
  <c r="D23" i="11"/>
  <c r="C23" i="11"/>
  <c r="B23" i="11"/>
  <c r="B13" i="11"/>
  <c r="C13" i="11" s="1"/>
  <c r="D13" i="11" s="1"/>
  <c r="E13" i="11" s="1"/>
  <c r="F13" i="11" s="1"/>
  <c r="G13" i="11" s="1"/>
  <c r="H13" i="11" s="1"/>
  <c r="I13" i="11" s="1"/>
  <c r="J13" i="11" s="1"/>
  <c r="K13" i="11" s="1"/>
  <c r="B11" i="11"/>
  <c r="B34" i="2"/>
  <c r="B32" i="2"/>
  <c r="C30" i="2" s="1"/>
  <c r="D23" i="2"/>
  <c r="B19" i="8"/>
  <c r="E15" i="8"/>
  <c r="B15" i="8"/>
  <c r="D15" i="7"/>
  <c r="D13" i="7"/>
  <c r="D14" i="7" s="1"/>
  <c r="E74" i="4"/>
  <c r="E66" i="4"/>
  <c r="E50" i="4"/>
  <c r="E49" i="4"/>
  <c r="E48" i="4"/>
  <c r="E51" i="4"/>
  <c r="E36" i="4"/>
  <c r="E35" i="4"/>
  <c r="E11" i="3"/>
  <c r="D11" i="3"/>
  <c r="E18" i="3"/>
  <c r="E34" i="4" s="1"/>
  <c r="E44" i="4" s="1"/>
  <c r="E30" i="4"/>
  <c r="E29" i="4"/>
  <c r="E28" i="4"/>
  <c r="E27" i="4"/>
  <c r="E26" i="4"/>
  <c r="E25" i="4"/>
  <c r="E24" i="4"/>
  <c r="E23" i="4"/>
  <c r="E22" i="4"/>
  <c r="E11" i="4"/>
  <c r="E9" i="4"/>
  <c r="E8" i="4"/>
  <c r="E7" i="4"/>
  <c r="E65" i="4"/>
  <c r="E80" i="4"/>
  <c r="B23" i="8"/>
  <c r="B18" i="8"/>
  <c r="B17" i="8"/>
  <c r="E14" i="8"/>
  <c r="E13" i="8"/>
  <c r="E12" i="8"/>
  <c r="E11" i="8"/>
  <c r="E10" i="8"/>
  <c r="E9" i="8"/>
  <c r="E8" i="8"/>
  <c r="E7" i="8"/>
  <c r="E6" i="8"/>
  <c r="E5" i="8"/>
  <c r="D12" i="7"/>
  <c r="D11" i="7"/>
  <c r="D10" i="7"/>
  <c r="D9" i="7"/>
  <c r="D8" i="7"/>
  <c r="D7" i="7"/>
  <c r="E7" i="7" s="1"/>
  <c r="E8" i="7" s="1"/>
  <c r="E9" i="7" s="1"/>
  <c r="E10" i="7" s="1"/>
  <c r="E11" i="7" s="1"/>
  <c r="E12" i="7" s="1"/>
  <c r="K23" i="6"/>
  <c r="J23" i="6"/>
  <c r="I23" i="6"/>
  <c r="H23" i="6"/>
  <c r="G23" i="6"/>
  <c r="F23" i="6"/>
  <c r="E23" i="6"/>
  <c r="D23" i="6"/>
  <c r="C23" i="6"/>
  <c r="B23" i="6"/>
  <c r="F23" i="5"/>
  <c r="E23" i="5"/>
  <c r="D23" i="5"/>
  <c r="C23" i="5"/>
  <c r="B23" i="5"/>
  <c r="E81" i="4"/>
  <c r="E79" i="4"/>
  <c r="E78" i="4"/>
  <c r="E77" i="4"/>
  <c r="E76" i="4"/>
  <c r="E75" i="4"/>
  <c r="E73" i="4"/>
  <c r="E72" i="4"/>
  <c r="E71" i="4"/>
  <c r="E70" i="4"/>
  <c r="E69" i="4"/>
  <c r="E68" i="4"/>
  <c r="E67" i="4"/>
  <c r="E64" i="4"/>
  <c r="E62" i="4"/>
  <c r="E61" i="4"/>
  <c r="E60" i="4"/>
  <c r="E59" i="4"/>
  <c r="E58" i="4"/>
  <c r="E57" i="4"/>
  <c r="E56" i="4"/>
  <c r="E55" i="4"/>
  <c r="E43" i="4"/>
  <c r="E42" i="4"/>
  <c r="E41" i="4"/>
  <c r="E40" i="4"/>
  <c r="E39" i="4"/>
  <c r="E38" i="4"/>
  <c r="E37" i="4"/>
  <c r="E17" i="4"/>
  <c r="E16" i="4"/>
  <c r="E14" i="4"/>
  <c r="E13" i="4"/>
  <c r="E12" i="4"/>
  <c r="D17" i="3"/>
  <c r="E17" i="3" s="1"/>
  <c r="D16" i="3"/>
  <c r="E16" i="3" s="1"/>
  <c r="E15" i="3"/>
  <c r="D15" i="3"/>
  <c r="D18" i="3" s="1"/>
  <c r="D14" i="3"/>
  <c r="E14" i="3" s="1"/>
  <c r="D13" i="3"/>
  <c r="E13" i="3" s="1"/>
  <c r="D12" i="3"/>
  <c r="E12" i="3" s="1"/>
  <c r="D10" i="3"/>
  <c r="E10" i="3" s="1"/>
  <c r="D9" i="3"/>
  <c r="E9" i="3" s="1"/>
  <c r="D8" i="3"/>
  <c r="E8" i="3" s="1"/>
  <c r="D7" i="3"/>
  <c r="C23" i="2"/>
  <c r="B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12" i="11" l="1"/>
  <c r="B22" i="11"/>
  <c r="C22" i="11" s="1"/>
  <c r="D22" i="11" s="1"/>
  <c r="E22" i="11" s="1"/>
  <c r="F22" i="11" s="1"/>
  <c r="G22" i="11" s="1"/>
  <c r="H22" i="11" s="1"/>
  <c r="I22" i="11" s="1"/>
  <c r="J22" i="11" s="1"/>
  <c r="K22" i="11" s="1"/>
  <c r="E83" i="4"/>
  <c r="E85" i="4" s="1"/>
  <c r="B5" i="5"/>
  <c r="C5" i="5" s="1"/>
  <c r="D5" i="5" s="1"/>
  <c r="D11" i="11"/>
  <c r="C31" i="2"/>
  <c r="C27" i="2"/>
  <c r="C28" i="2"/>
  <c r="C29" i="2"/>
  <c r="B24" i="8"/>
  <c r="D23" i="8"/>
  <c r="C23" i="8"/>
  <c r="B13" i="5"/>
  <c r="C13" i="5" s="1"/>
  <c r="D13" i="5" s="1"/>
  <c r="E13" i="5" s="1"/>
  <c r="F13" i="5" s="1"/>
  <c r="B13" i="6"/>
  <c r="C13" i="6" s="1"/>
  <c r="D13" i="6" s="1"/>
  <c r="E13" i="6" s="1"/>
  <c r="F13" i="6" s="1"/>
  <c r="G13" i="6" s="1"/>
  <c r="H13" i="6" s="1"/>
  <c r="I13" i="6" s="1"/>
  <c r="J13" i="6" s="1"/>
  <c r="K13" i="6" s="1"/>
  <c r="B11" i="5"/>
  <c r="B11" i="6"/>
  <c r="B6" i="5"/>
  <c r="M12" i="11" l="1"/>
  <c r="C12" i="11"/>
  <c r="B14" i="11"/>
  <c r="E86" i="4"/>
  <c r="E87" i="4" s="1"/>
  <c r="C5" i="6"/>
  <c r="E11" i="11"/>
  <c r="B25" i="8"/>
  <c r="C24" i="8"/>
  <c r="D24" i="8"/>
  <c r="C11" i="5"/>
  <c r="C11" i="6"/>
  <c r="B7" i="5"/>
  <c r="B22" i="6"/>
  <c r="C22" i="6" s="1"/>
  <c r="D22" i="6" s="1"/>
  <c r="E22" i="6" s="1"/>
  <c r="F22" i="6" s="1"/>
  <c r="G22" i="6" s="1"/>
  <c r="H22" i="6" s="1"/>
  <c r="I22" i="6" s="1"/>
  <c r="J22" i="6" s="1"/>
  <c r="K22" i="6" s="1"/>
  <c r="B22" i="5"/>
  <c r="C22" i="5" s="1"/>
  <c r="D22" i="5" s="1"/>
  <c r="E22" i="5" s="1"/>
  <c r="F22" i="5" s="1"/>
  <c r="D12" i="11" l="1"/>
  <c r="N12" i="11"/>
  <c r="C14" i="11"/>
  <c r="M14" i="11"/>
  <c r="B7" i="6"/>
  <c r="B15" i="11"/>
  <c r="C5" i="11"/>
  <c r="F11" i="11"/>
  <c r="D25" i="8"/>
  <c r="C25" i="8"/>
  <c r="B26" i="8"/>
  <c r="D11" i="5"/>
  <c r="D11" i="6"/>
  <c r="C7" i="5"/>
  <c r="D5" i="6"/>
  <c r="C7" i="6"/>
  <c r="B12" i="6"/>
  <c r="B12" i="5"/>
  <c r="M15" i="11" l="1"/>
  <c r="N14" i="11"/>
  <c r="D14" i="11"/>
  <c r="O14" i="11" s="1"/>
  <c r="C15" i="11"/>
  <c r="E12" i="11"/>
  <c r="O12" i="11"/>
  <c r="F28" i="11"/>
  <c r="D5" i="11"/>
  <c r="B17" i="11"/>
  <c r="E14" i="11"/>
  <c r="P14" i="11" s="1"/>
  <c r="D15" i="11"/>
  <c r="G11" i="11"/>
  <c r="D26" i="8"/>
  <c r="B27" i="8"/>
  <c r="C26" i="8"/>
  <c r="E11" i="5"/>
  <c r="E11" i="6"/>
  <c r="E5" i="5"/>
  <c r="F5" i="5" s="1"/>
  <c r="D7" i="5"/>
  <c r="E5" i="6"/>
  <c r="D7" i="6"/>
  <c r="B14" i="6"/>
  <c r="B14" i="5"/>
  <c r="B15" i="5" s="1"/>
  <c r="C12" i="6"/>
  <c r="C12" i="5"/>
  <c r="F12" i="11" l="1"/>
  <c r="G12" i="11" s="1"/>
  <c r="H12" i="11" s="1"/>
  <c r="I12" i="11" s="1"/>
  <c r="J12" i="11" s="1"/>
  <c r="K12" i="11" s="1"/>
  <c r="P12" i="11"/>
  <c r="C14" i="6"/>
  <c r="D14" i="6" s="1"/>
  <c r="E14" i="6" s="1"/>
  <c r="F14" i="6" s="1"/>
  <c r="G14" i="6" s="1"/>
  <c r="H14" i="6" s="1"/>
  <c r="I14" i="6" s="1"/>
  <c r="J14" i="6" s="1"/>
  <c r="K14" i="6" s="1"/>
  <c r="N15" i="11"/>
  <c r="E29" i="11"/>
  <c r="E30" i="11"/>
  <c r="O15" i="11"/>
  <c r="D29" i="11"/>
  <c r="F14" i="11"/>
  <c r="E15" i="11"/>
  <c r="B19" i="11"/>
  <c r="B18" i="11"/>
  <c r="E5" i="11"/>
  <c r="D7" i="11"/>
  <c r="C17" i="11"/>
  <c r="C18" i="11" s="1"/>
  <c r="H11" i="11"/>
  <c r="B15" i="6"/>
  <c r="B17" i="6" s="1"/>
  <c r="B19" i="6" s="1"/>
  <c r="C27" i="8"/>
  <c r="D27" i="8"/>
  <c r="B28" i="8"/>
  <c r="F11" i="5"/>
  <c r="F11" i="6"/>
  <c r="F7" i="5"/>
  <c r="E7" i="5"/>
  <c r="F5" i="6"/>
  <c r="E7" i="6"/>
  <c r="C15" i="6"/>
  <c r="C17" i="6" s="1"/>
  <c r="C18" i="6" s="1"/>
  <c r="D12" i="6"/>
  <c r="D12" i="5"/>
  <c r="C14" i="5"/>
  <c r="D14" i="5" s="1"/>
  <c r="E14" i="5" s="1"/>
  <c r="F14" i="5" s="1"/>
  <c r="B17" i="5"/>
  <c r="E31" i="11" l="1"/>
  <c r="P15" i="11"/>
  <c r="D30" i="11"/>
  <c r="F29" i="11"/>
  <c r="H29" i="11" s="1"/>
  <c r="F5" i="11"/>
  <c r="E7" i="11"/>
  <c r="D17" i="11"/>
  <c r="D18" i="11" s="1"/>
  <c r="C19" i="11"/>
  <c r="G14" i="11"/>
  <c r="F15" i="11"/>
  <c r="E32" i="11" s="1"/>
  <c r="I11" i="11"/>
  <c r="B18" i="6"/>
  <c r="C15" i="5"/>
  <c r="C17" i="5" s="1"/>
  <c r="C18" i="5" s="1"/>
  <c r="C28" i="8"/>
  <c r="D28" i="8"/>
  <c r="B29" i="8"/>
  <c r="G11" i="6"/>
  <c r="G5" i="6"/>
  <c r="F7" i="6"/>
  <c r="D15" i="6"/>
  <c r="D17" i="6" s="1"/>
  <c r="D18" i="6" s="1"/>
  <c r="E12" i="6"/>
  <c r="D15" i="5"/>
  <c r="D17" i="5" s="1"/>
  <c r="D18" i="5" s="1"/>
  <c r="E12" i="5"/>
  <c r="B18" i="5"/>
  <c r="B19" i="5"/>
  <c r="C19" i="6"/>
  <c r="D31" i="11" l="1"/>
  <c r="F30" i="11"/>
  <c r="H30" i="11" s="1"/>
  <c r="D19" i="11"/>
  <c r="E17" i="11"/>
  <c r="E18" i="11" s="1"/>
  <c r="H14" i="11"/>
  <c r="G15" i="11"/>
  <c r="E33" i="11" s="1"/>
  <c r="F7" i="11"/>
  <c r="G5" i="11"/>
  <c r="J11" i="11"/>
  <c r="C19" i="5"/>
  <c r="D19" i="5" s="1"/>
  <c r="D19" i="6"/>
  <c r="C29" i="8"/>
  <c r="D29" i="8"/>
  <c r="B30" i="8"/>
  <c r="H11" i="6"/>
  <c r="H5" i="6"/>
  <c r="G7" i="6"/>
  <c r="E15" i="6"/>
  <c r="E17" i="6" s="1"/>
  <c r="F12" i="6"/>
  <c r="E15" i="5"/>
  <c r="E17" i="5" s="1"/>
  <c r="F12" i="5"/>
  <c r="F15" i="5" s="1"/>
  <c r="F17" i="5" s="1"/>
  <c r="F18" i="5" s="1"/>
  <c r="I30" i="11" l="1"/>
  <c r="D32" i="11"/>
  <c r="F31" i="11"/>
  <c r="H31" i="11" s="1"/>
  <c r="F17" i="11"/>
  <c r="F18" i="11" s="1"/>
  <c r="G7" i="11"/>
  <c r="H5" i="11"/>
  <c r="I14" i="11"/>
  <c r="H15" i="11"/>
  <c r="E34" i="11" s="1"/>
  <c r="E19" i="11"/>
  <c r="F19" i="11" s="1"/>
  <c r="K11" i="11"/>
  <c r="B31" i="8"/>
  <c r="C30" i="8"/>
  <c r="D30" i="8"/>
  <c r="I11" i="6"/>
  <c r="I5" i="6"/>
  <c r="H7" i="6"/>
  <c r="E19" i="6"/>
  <c r="E18" i="6"/>
  <c r="F15" i="6"/>
  <c r="F17" i="6" s="1"/>
  <c r="F18" i="6" s="1"/>
  <c r="G12" i="6"/>
  <c r="E19" i="5"/>
  <c r="F19" i="5" s="1"/>
  <c r="E18" i="5"/>
  <c r="I31" i="11" l="1"/>
  <c r="D33" i="11"/>
  <c r="F32" i="11"/>
  <c r="H32" i="11" s="1"/>
  <c r="G31" i="11"/>
  <c r="I5" i="11"/>
  <c r="H7" i="11"/>
  <c r="J14" i="11"/>
  <c r="I15" i="11"/>
  <c r="E35" i="11" s="1"/>
  <c r="G17" i="11"/>
  <c r="G18" i="11" s="1"/>
  <c r="B32" i="8"/>
  <c r="C31" i="8"/>
  <c r="D31" i="8"/>
  <c r="J11" i="6"/>
  <c r="J5" i="6"/>
  <c r="I7" i="6"/>
  <c r="G15" i="6"/>
  <c r="G17" i="6" s="1"/>
  <c r="G18" i="6" s="1"/>
  <c r="H12" i="6"/>
  <c r="F19" i="6"/>
  <c r="I32" i="11" l="1"/>
  <c r="D34" i="11"/>
  <c r="F33" i="11"/>
  <c r="G32" i="11"/>
  <c r="H17" i="11"/>
  <c r="H18" i="11" s="1"/>
  <c r="K14" i="11"/>
  <c r="K15" i="11" s="1"/>
  <c r="E37" i="11" s="1"/>
  <c r="F37" i="11" s="1"/>
  <c r="H37" i="11" s="1"/>
  <c r="J15" i="11"/>
  <c r="E36" i="11" s="1"/>
  <c r="I7" i="11"/>
  <c r="J5" i="11"/>
  <c r="G19" i="11"/>
  <c r="G19" i="6"/>
  <c r="D32" i="8"/>
  <c r="C32" i="8"/>
  <c r="K11" i="6"/>
  <c r="K5" i="6"/>
  <c r="K7" i="6" s="1"/>
  <c r="J7" i="6"/>
  <c r="H15" i="6"/>
  <c r="H17" i="6" s="1"/>
  <c r="I12" i="6"/>
  <c r="H33" i="11" l="1"/>
  <c r="I33" i="11" s="1"/>
  <c r="D35" i="11"/>
  <c r="F34" i="11"/>
  <c r="H34" i="11" s="1"/>
  <c r="G33" i="11"/>
  <c r="H19" i="11"/>
  <c r="I17" i="11"/>
  <c r="I18" i="11" s="1"/>
  <c r="K5" i="11"/>
  <c r="K7" i="11" s="1"/>
  <c r="J7" i="11"/>
  <c r="H19" i="6"/>
  <c r="H18" i="6"/>
  <c r="I15" i="6"/>
  <c r="I17" i="6" s="1"/>
  <c r="I18" i="6" s="1"/>
  <c r="J12" i="6"/>
  <c r="I34" i="11" l="1"/>
  <c r="D36" i="11"/>
  <c r="F36" i="11" s="1"/>
  <c r="F35" i="11"/>
  <c r="H35" i="11" s="1"/>
  <c r="G34" i="11"/>
  <c r="J17" i="11"/>
  <c r="J18" i="11" s="1"/>
  <c r="K17" i="11"/>
  <c r="K18" i="11" s="1"/>
  <c r="I19" i="11"/>
  <c r="J15" i="6"/>
  <c r="J17" i="6" s="1"/>
  <c r="J18" i="6" s="1"/>
  <c r="K12" i="6"/>
  <c r="K15" i="6" s="1"/>
  <c r="K17" i="6" s="1"/>
  <c r="K18" i="6" s="1"/>
  <c r="I19" i="6"/>
  <c r="H36" i="11" l="1"/>
  <c r="H40" i="11"/>
  <c r="H42" i="11"/>
  <c r="I35" i="11"/>
  <c r="G35" i="11"/>
  <c r="J19" i="11"/>
  <c r="K19" i="11" s="1"/>
  <c r="J19" i="6"/>
  <c r="K19" i="6" s="1"/>
  <c r="I36" i="11" l="1"/>
  <c r="I37" i="11" s="1"/>
  <c r="G3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tc={03A22435-ACBB-4170-9032-806389C01180}</author>
    <author>tc={FBF769A0-4B10-4349-91BC-B381BAA0E18F}</author>
  </authors>
  <commentList>
    <comment ref="A13" authorId="0" shapeId="0" xr:uid="{03A22435-ACBB-4170-9032-806389C011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of what?</t>
      </text>
    </comment>
    <comment ref="C13" authorId="1" shapeId="0" xr:uid="{FBF769A0-4B10-4349-91BC-B381BAA0E18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20% of what?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tc={D2D2B385-7C45-4ADD-AB16-4D8E62157FCD}</author>
    <author>tc={63ECBE66-7864-4505-803A-A567643D393C}</author>
  </authors>
  <commentList>
    <comment ref="A6" authorId="0" shapeId="0" xr:uid="{D2D2B385-7C45-4ADD-AB16-4D8E62157FCD}">
      <text>
        <t>[Threaded comment]
Your version of Excel allows you to read this threaded comment; however, any edits to it will get removed if the file is opened in a newer version of Excel. Learn more: https://go.microsoft.com/fwlink/?linkid=870924
Comment:
    Delete row because this is already taken into account. Moreover, it is taken into account every year in the proforma revenue and never subtracted out when calculating 10% annual increase.</t>
      </text>
    </comment>
    <comment ref="C14" authorId="1" shapeId="0" xr:uid="{63ECBE66-7864-4505-803A-A567643D393C}">
      <text>
        <t>[Threaded comment]
Your version of Excel allows you to read this threaded comment; however, any edits to it will get removed if the file is opened in a newer version of Excel. Learn more: https://go.microsoft.com/fwlink/?linkid=870924
Comment:
    $7,500 of legal fees were subtracted out (claiming in the proforma that they were only for the 1st year). I added them back (by not subtracting them out) because there will be continuing legal fees if we need to WeFunder each year...as in the proforma.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tc={C27BC370-6EE1-4C55-9817-4252F4847F44}</author>
    <author>tc={944CD9C2-124E-48E8-B023-5722AD0E0B35}</author>
  </authors>
  <commentList>
    <comment ref="D26" authorId="0" shapeId="0" xr:uid="{C27BC370-6EE1-4C55-9817-4252F4847F44}">
      <text>
        <t>[Threaded comment]
Your version of Excel allows you to read this threaded comment; however, any edits to it will get removed if the file is opened in a newer version of Excel. Learn more: https://go.microsoft.com/fwlink/?linkid=870924
Comment:
    Seating capacity increases each year until at full capacity</t>
      </text>
    </comment>
    <comment ref="G36" authorId="1" shapeId="0" xr:uid="{944CD9C2-124E-48E8-B023-5722AD0E0B35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Breakeven is somewhere between here and the cell below</t>
      </text>
    </comment>
  </commentList>
</comments>
</file>

<file path=xl/sharedStrings.xml><?xml version="1.0" encoding="utf-8"?>
<sst xmlns="http://schemas.openxmlformats.org/spreadsheetml/2006/main" count="727" uniqueCount="528">
  <si>
    <t>TYLER COFL TEAM - 'IS IT WORTH IT?' PROFORMA &amp; FORECAST</t>
  </si>
  <si>
    <t>Texas Continental Football League (CoFL) - Tyler Franchise</t>
  </si>
  <si>
    <t>Prepared: April 28, 2026  |  Home venue: CHRISTUS TMF Rose Stadium</t>
  </si>
  <si>
    <t>PROJECT OVERVIEW</t>
  </si>
  <si>
    <t>Project:</t>
  </si>
  <si>
    <t>Stand up a Texas Continental Football League (CoFL) franchise based in Tyler, TX.</t>
  </si>
  <si>
    <t>Home venue:</t>
  </si>
  <si>
    <t>CHRISTUS Trinity Mother Frances Rose Stadium (Tyler ISD)</t>
  </si>
  <si>
    <t>Stadium capacity:</t>
  </si>
  <si>
    <t>10,566 (per Tyler ISD facility listing)</t>
  </si>
  <si>
    <t>Year 1 home games modeled:</t>
  </si>
  <si>
    <t>3 (per existing breakeven workbook)</t>
  </si>
  <si>
    <t>Anchor sponsor target:</t>
  </si>
  <si>
    <t>CHRISTUS Health (naming-rights aligned with stadium sponsor)</t>
  </si>
  <si>
    <t>Funding mechanism:</t>
  </si>
  <si>
    <t>WeFunder Reg CF community equity campaign + tier sponsorships</t>
  </si>
  <si>
    <t>Growth assumption:</t>
  </si>
  <si>
    <t>10% annual top-line growth (per conversations with Manny)</t>
  </si>
  <si>
    <t>KEY GLOBAL ASSUMPTIONS  (BLUE = inputs you can change)</t>
  </si>
  <si>
    <t>Assumption</t>
  </si>
  <si>
    <t>Value</t>
  </si>
  <si>
    <t>Unit</t>
  </si>
  <si>
    <t>Notes / Source</t>
  </si>
  <si>
    <t>Annual top-line revenue growth</t>
  </si>
  <si>
    <t>Per Manny - 10% YoY growth assumption</t>
  </si>
  <si>
    <t>Annual expense inflation</t>
  </si>
  <si>
    <t>General CPI / wage inflation placeholder</t>
  </si>
  <si>
    <t>Home games / season (Yr 1)</t>
  </si>
  <si>
    <t>Per existing breakeven workbook</t>
  </si>
  <si>
    <t>Home games / season (Yr 5+)</t>
  </si>
  <si>
    <t>Schedule expansion as league matures</t>
  </si>
  <si>
    <t>Stadium max capacity</t>
  </si>
  <si>
    <t>CHRISTUS TMF Rose Stadium</t>
  </si>
  <si>
    <t>Year 1 average attendance / game</t>
  </si>
  <si>
    <t>Per existing breakeven model (~17.7% of capacity)</t>
  </si>
  <si>
    <t>Annual franchise fee (CoFL HQ)</t>
  </si>
  <si>
    <t>Per user instruction</t>
  </si>
  <si>
    <t>Legal &amp; accounting setup (one-time)</t>
  </si>
  <si>
    <t>Midpoint of $5K-$10K range provided</t>
  </si>
  <si>
    <t>Smith County population</t>
  </si>
  <si>
    <t>TX Demographic Center est.</t>
  </si>
  <si>
    <t>East Texas catchment population</t>
  </si>
  <si>
    <t>Smith + Gregg + Henderson + Cherokee + Van Zandt + Rusk + Wood + Anderson + Upshur counties</t>
  </si>
  <si>
    <t>Tyler MSA population</t>
  </si>
  <si>
    <t>Tyler Metro Statistical Area</t>
  </si>
  <si>
    <t>ROSE STADIUM - INFORMATION FROM SCHOOLSPACE LISTING</t>
  </si>
  <si>
    <t>Item</t>
  </si>
  <si>
    <t>Rate / Detail</t>
  </si>
  <si>
    <t>Facility name</t>
  </si>
  <si>
    <t>Owner / Operator</t>
  </si>
  <si>
    <t>Tyler Independent School District</t>
  </si>
  <si>
    <t>Max capacity</t>
  </si>
  <si>
    <t>10,566</t>
  </si>
  <si>
    <t>Non-football activity rate (4-hr min)</t>
  </si>
  <si>
    <t>$500 / hour</t>
  </si>
  <si>
    <t>Additional hours rate</t>
  </si>
  <si>
    <t>$200 / hour</t>
  </si>
  <si>
    <t>Video board use</t>
  </si>
  <si>
    <t>$1,000 flat fee</t>
  </si>
  <si>
    <t>Field supervisor</t>
  </si>
  <si>
    <t>$25 / hr (3-hr min)</t>
  </si>
  <si>
    <t>Custodian</t>
  </si>
  <si>
    <t>Security (per officer)</t>
  </si>
  <si>
    <t>$30 / hr (3-hr min)</t>
  </si>
  <si>
    <t>Concessions</t>
  </si>
  <si>
    <t>Tyler ISD has 1st right; if declined, $250/day to renter</t>
  </si>
  <si>
    <t>CRITICAL CALENDAR CAVEAT</t>
  </si>
  <si>
    <t>Rose Stadium NOT available during Tyler ISD football season (Aug-Nov)</t>
  </si>
  <si>
    <t>INITIAL INVESTMENT - YEAR 0 / PRE-LAUNCH CAPITAL REQUIRED</t>
  </si>
  <si>
    <t>One-time costs to stand up the franchise BEFORE first game.</t>
  </si>
  <si>
    <t>ONE-TIME STARTUP COSTS</t>
  </si>
  <si>
    <t>Cost Category</t>
  </si>
  <si>
    <t>Low</t>
  </si>
  <si>
    <t>High</t>
  </si>
  <si>
    <t>Midpoint (used)</t>
  </si>
  <si>
    <t>Notes</t>
  </si>
  <si>
    <t>CoFL Franchise entry fee (one-time, est.)</t>
  </si>
  <si>
    <t>Estimate; confirm with league office; separate from $50K annual</t>
  </si>
  <si>
    <t>Legal setup (LLC, contracts, IP, league agreements)</t>
  </si>
  <si>
    <t>Per user instruction ($5K-$10K)</t>
  </si>
  <si>
    <t>Accounting setup (chart of accounts, payroll, books)</t>
  </si>
  <si>
    <t>Initial accounting infrastructure</t>
  </si>
  <si>
    <t>Insurance binding &amp; annual prepay (GL, D&amp;O, accident)</t>
  </si>
  <si>
    <t>Liability + accident coverage for players &amp; spectators</t>
  </si>
  <si>
    <t>Branding / Identity (logo, mark, trademark search)</t>
  </si>
  <si>
    <t>Pro design + USPTO trademark filing</t>
  </si>
  <si>
    <t>Website + ticketing platform setup</t>
  </si>
  <si>
    <t>Site, e-commerce, ticketing integration</t>
  </si>
  <si>
    <t>Equipment - Helmets (50 @ $500)</t>
  </si>
  <si>
    <t>Per breakeven workbook</t>
  </si>
  <si>
    <t>Equipment - Shoulder pads (50 @ $300)</t>
  </si>
  <si>
    <t>Equipment - Practice gear, sleds, blocking dummies</t>
  </si>
  <si>
    <t>Practice infrastructure</t>
  </si>
  <si>
    <t>Game uniforms (2 sets, 50 players)</t>
  </si>
  <si>
    <t>Practice uniforms (1 set, 50 players)</t>
  </si>
  <si>
    <t>Office setup (computers, software, furniture)</t>
  </si>
  <si>
    <t>Front office infrastructure</t>
  </si>
  <si>
    <t>Initial marketing &amp; launch campaign</t>
  </si>
  <si>
    <t>Awareness drive Y1</t>
  </si>
  <si>
    <t>WeFunder campaign filing &amp; escrow setup</t>
  </si>
  <si>
    <t>Reg CF compliance + escrow</t>
  </si>
  <si>
    <t>Stadium / facility deposits</t>
  </si>
  <si>
    <t>Refundable damage / use deposits</t>
  </si>
  <si>
    <t>Working capital reserve (3 months opex)</t>
  </si>
  <si>
    <t>Cash buffer through first season</t>
  </si>
  <si>
    <t>TOTAL INITIAL INVESTMENT REQUIRED</t>
  </si>
  <si>
    <t>FUNDING SOURCES</t>
  </si>
  <si>
    <t>Source</t>
  </si>
  <si>
    <t>Amount</t>
  </si>
  <si>
    <t>%</t>
  </si>
  <si>
    <t>WeFunder Reg CF community campaign</t>
  </si>
  <si>
    <t>Per existing breakeven workbook ($1K avg x 100 investors)</t>
  </si>
  <si>
    <t>Founding / Title sponsor (CHRISTUS Health target)</t>
  </si>
  <si>
    <t>Multi-year naming-rights aligned with stadium sponsor</t>
  </si>
  <si>
    <t>Founder equity / lead investors</t>
  </si>
  <si>
    <t>Anchor capital from ownership group</t>
  </si>
  <si>
    <t>Tier sponsorships pre-sold</t>
  </si>
  <si>
    <t>Bronze/Silver tier presales</t>
  </si>
  <si>
    <t>Bridge / line of credit (if needed)</t>
  </si>
  <si>
    <t>Backstop only - prefer not to use</t>
  </si>
  <si>
    <t>TOTAL FUNDING</t>
  </si>
  <si>
    <t>Funding gap / (surplus) vs. required investment</t>
  </si>
  <si>
    <t>ROSE STADIUM - PER-GAME COST BUILD-UP</t>
  </si>
  <si>
    <t>Replaces the $1,000/game 'Home Game Facility Fee' placeholder in the original breakeven workbook.</t>
  </si>
  <si>
    <t>PER-GAME RENTAL COST</t>
  </si>
  <si>
    <t>Line Item</t>
  </si>
  <si>
    <t>Hours / Qty</t>
  </si>
  <si>
    <t>Rate</t>
  </si>
  <si>
    <t>Subtotal</t>
  </si>
  <si>
    <t>Per Season (3 games)</t>
  </si>
  <si>
    <t>Stadium base rate (4-hr minimum)</t>
  </si>
  <si>
    <t>$500/hr, 4-hr min per SchoolSpace listing</t>
  </si>
  <si>
    <t>Stadium additional hours</t>
  </si>
  <si>
    <t>Assumes 6 total hrs (warmup, game, post)</t>
  </si>
  <si>
    <t>Video board use (flat fee)</t>
  </si>
  <si>
    <t>$1,000 flat per event</t>
  </si>
  <si>
    <t>$25/hr, 3-hr min, 1 person, 6 hrs</t>
  </si>
  <si>
    <t>Custodian (2 staff)</t>
  </si>
  <si>
    <t>2 custodians x 6 hrs each</t>
  </si>
  <si>
    <t>Security officers (8 officers)</t>
  </si>
  <si>
    <t>8 officers x 6 hrs for 1,875+ attendance</t>
  </si>
  <si>
    <t>Concession buyout (if Tyler ISD declines)</t>
  </si>
  <si>
    <t>$250/day - assumes worst case</t>
  </si>
  <si>
    <t>Field paint, chalk, game-day consumables</t>
  </si>
  <si>
    <t>Game prep consumables</t>
  </si>
  <si>
    <t>EMT / on-site medical</t>
  </si>
  <si>
    <t>$60/hr ambulance standby</t>
  </si>
  <si>
    <t>Scoreboard / clock operator</t>
  </si>
  <si>
    <t>Game-day operator</t>
  </si>
  <si>
    <t>PA announcer</t>
  </si>
  <si>
    <t>Flat-rate per game ~$600</t>
  </si>
  <si>
    <t>TOTAL PER GAME</t>
  </si>
  <si>
    <t>REQUIRED EMPLOYEES (STADIUM-SIDE &amp; GAME-DAY)</t>
  </si>
  <si>
    <t>Role</t>
  </si>
  <si>
    <t>Headcount</t>
  </si>
  <si>
    <t>Field supervisor (Tyler ISD)</t>
  </si>
  <si>
    <t>Stadium req.</t>
  </si>
  <si>
    <t>Custodians (Tyler ISD)</t>
  </si>
  <si>
    <t>Security officers (Tyler ISD)</t>
  </si>
  <si>
    <t>Capacity-based, ~1 per 235 attendees</t>
  </si>
  <si>
    <t>EMT / medical standby</t>
  </si>
  <si>
    <t>Industry standard</t>
  </si>
  <si>
    <t>Per game</t>
  </si>
  <si>
    <t>Ticket takers / ushers</t>
  </si>
  <si>
    <t>Game-day workers (per breakeven)</t>
  </si>
  <si>
    <t>Concession workers (if buyout)</t>
  </si>
  <si>
    <t>Tyler ISD usually runs</t>
  </si>
  <si>
    <t>Equipment manager</t>
  </si>
  <si>
    <t>Athletic trainers</t>
  </si>
  <si>
    <t>Officials (game refs)</t>
  </si>
  <si>
    <t>Coaching staff (HC + 6 assistants)</t>
  </si>
  <si>
    <t>Front office (GM, marketing, ops)</t>
  </si>
  <si>
    <t>$24K front office line in breakeven</t>
  </si>
  <si>
    <t>YEAR 1 PROFORMA INCOME STATEMENT - 2026 SEASON</t>
  </si>
  <si>
    <t>Built off existing TylerCoFL Compass breakeven model + Rose Stadium + franchise/legal + missing-cost additions</t>
  </si>
  <si>
    <t>REVENUE</t>
  </si>
  <si>
    <t>Qty/Seats</t>
  </si>
  <si>
    <t>$/Unit</t>
  </si>
  <si>
    <t># Games</t>
  </si>
  <si>
    <t>Total</t>
  </si>
  <si>
    <t>Premium tickets (between 40-yd lines)</t>
  </si>
  <si>
    <t>Reserved tickets (between 30-40 yd lines)</t>
  </si>
  <si>
    <t>General admission</t>
  </si>
  <si>
    <t>Group sales</t>
  </si>
  <si>
    <t>Concessions (50% of attendees @ $10)</t>
  </si>
  <si>
    <t>Beer garden (10% of attendees @ $25)</t>
  </si>
  <si>
    <t>Sponsorships (net 20% commission)</t>
  </si>
  <si>
    <t>Food truck rental</t>
  </si>
  <si>
    <t>Merchandise (20% of attendees @ $20)</t>
  </si>
  <si>
    <t>50/50 raffle</t>
  </si>
  <si>
    <t>WeFunder community equity campaign</t>
  </si>
  <si>
    <t>One-time fundraise (NOT recurring)</t>
  </si>
  <si>
    <t>TOTAL REVENUE</t>
  </si>
  <si>
    <t>OPERATIONAL EXPENSES (Player &amp; Equipment)</t>
  </si>
  <si>
    <t>Units</t>
  </si>
  <si>
    <t>Cost</t>
  </si>
  <si>
    <t>Quantity</t>
  </si>
  <si>
    <t>Front office (salaries, benefits, overhead)</t>
  </si>
  <si>
    <t>Game uniforms (jersey &amp; pants, 2 sets)</t>
  </si>
  <si>
    <t>Practice uniforms (jersey &amp; shorts)</t>
  </si>
  <si>
    <t>Helmets</t>
  </si>
  <si>
    <t>Shoulder pads</t>
  </si>
  <si>
    <t>Player / coach apparel</t>
  </si>
  <si>
    <t>CoFL footballs (practice &amp; game)</t>
  </si>
  <si>
    <t>Athletic trainers (stipend per week)</t>
  </si>
  <si>
    <t>Total Operational Expenses</t>
  </si>
  <si>
    <t>GAME DAY EXPENSES</t>
  </si>
  <si>
    <t>Games/Days</t>
  </si>
  <si>
    <t>Per Game</t>
  </si>
  <si>
    <t>People</t>
  </si>
  <si>
    <t>Rose Stadium rental (linked from Sheet 3)</t>
  </si>
  <si>
    <t>REPLACES the $3K placeholder; full per-game build on Sheet 3</t>
  </si>
  <si>
    <t>Practice facility fee</t>
  </si>
  <si>
    <t>Coaches stipend (assistant coaches)</t>
  </si>
  <si>
    <t>Head coach stipend</t>
  </si>
  <si>
    <t>Officials (refs)</t>
  </si>
  <si>
    <t>Player housing (dbl occupancy)</t>
  </si>
  <si>
    <t>Player pay</t>
  </si>
  <si>
    <t>Quarterback pay</t>
  </si>
  <si>
    <t>Game day workers (additional, not in stadium)</t>
  </si>
  <si>
    <t>Total Game Day Expenses</t>
  </si>
  <si>
    <t>AWAY GAME LOGISTICS</t>
  </si>
  <si>
    <t>Qty</t>
  </si>
  <si>
    <t>$ per</t>
  </si>
  <si>
    <t>Per diem (50 travel party)</t>
  </si>
  <si>
    <t>Bus transportation</t>
  </si>
  <si>
    <t>Hotel (30 rooms x 1 night)</t>
  </si>
  <si>
    <t>Total Away Game Expenses</t>
  </si>
  <si>
    <t>LEAGUE, FRANCHISE &amp; CORPORATE OVERHEAD (NEW LINES)</t>
  </si>
  <si>
    <t>Periods</t>
  </si>
  <si>
    <t>Annual CoFL franchise fee</t>
  </si>
  <si>
    <t>Legal fees (setup, contracts) - one-time Y1</t>
  </si>
  <si>
    <t>Per user instruction (mid of $5-10K)</t>
  </si>
  <si>
    <t>Accounting / bookkeeping (ongoing)</t>
  </si>
  <si>
    <t>$750/mo CPA + Quickbooks</t>
  </si>
  <si>
    <t>Insurance - general liability</t>
  </si>
  <si>
    <t>Crowd events, ~$18K/yr</t>
  </si>
  <si>
    <t>Insurance - player accident &amp; workers' comp</t>
  </si>
  <si>
    <t>Roster-based</t>
  </si>
  <si>
    <t>Insurance - D&amp;O for board</t>
  </si>
  <si>
    <t>Director &amp; Officer coverage</t>
  </si>
  <si>
    <t>Marketing &amp; advertising (digital + print)</t>
  </si>
  <si>
    <t>$24K/yr campaign</t>
  </si>
  <si>
    <t>Website hosting, ticketing platform fees</t>
  </si>
  <si>
    <t>Hosting + ticket platform 4-5%</t>
  </si>
  <si>
    <t>Payment processing (3% of ticket+merch+conc.)</t>
  </si>
  <si>
    <t>Modeled separately - see formula</t>
  </si>
  <si>
    <t>Background checks (60 staff/players @ $50)</t>
  </si>
  <si>
    <t>Per person</t>
  </si>
  <si>
    <t>Player meals / training table</t>
  </si>
  <si>
    <t>~36 practice days x $15 x 50 players</t>
  </si>
  <si>
    <t>Medical supplies / training room consumables</t>
  </si>
  <si>
    <t>Tape, ice, supplements, etc.</t>
  </si>
  <si>
    <t>Concussion baseline testing</t>
  </si>
  <si>
    <t>Per player + coach</t>
  </si>
  <si>
    <t>Field paint, chalk, line marking</t>
  </si>
  <si>
    <t>Annual supply</t>
  </si>
  <si>
    <t>Towel, laundry &amp; equipment cleaning</t>
  </si>
  <si>
    <t>$250/mo service</t>
  </si>
  <si>
    <t>Photography / videography (per game)</t>
  </si>
  <si>
    <t>Game-day media</t>
  </si>
  <si>
    <t>Livestream production (per home game)</t>
  </si>
  <si>
    <t>Camera, encoder, crew</t>
  </si>
  <si>
    <t>Statistician &amp; official scorer</t>
  </si>
  <si>
    <t>PR / publicist retainer</t>
  </si>
  <si>
    <t>$18K/yr</t>
  </si>
  <si>
    <t>Player recruitment &amp; tryout costs</t>
  </si>
  <si>
    <t>Tryout camps, scouting</t>
  </si>
  <si>
    <t>League dues beyond franchise (assessments)</t>
  </si>
  <si>
    <t>Avg league assessments</t>
  </si>
  <si>
    <t>Tax prep &amp; annual audit</t>
  </si>
  <si>
    <t>CPA prep + light audit</t>
  </si>
  <si>
    <t>Travel insurance (away games)</t>
  </si>
  <si>
    <t>Per away trip</t>
  </si>
  <si>
    <t>Replay / instant review equipment</t>
  </si>
  <si>
    <t>Sideline tablets</t>
  </si>
  <si>
    <t>Office rent / shared workspace</t>
  </si>
  <si>
    <t>$14.4K/yr small office</t>
  </si>
  <si>
    <t>Phones, internet, software (Slack, MS365)</t>
  </si>
  <si>
    <t>$4.8K/yr</t>
  </si>
  <si>
    <t>Bank fees &amp; merchant account</t>
  </si>
  <si>
    <t>$1.8K/yr</t>
  </si>
  <si>
    <t>Contingency (5% of base opex)</t>
  </si>
  <si>
    <t>Total League / Franchise / Corp Overhead</t>
  </si>
  <si>
    <t>TOTAL EXPENSES</t>
  </si>
  <si>
    <t>NET INCOME (LOSS) - Year 1</t>
  </si>
  <si>
    <t>Net margin %</t>
  </si>
  <si>
    <t>5-YEAR PROFORMA FORECAST (2026-2030)  |  10% annual revenue growth</t>
  </si>
  <si>
    <t>REVENUE - 10% annual growth (per Manny)</t>
  </si>
  <si>
    <t>Year 1</t>
  </si>
  <si>
    <t>Year 2</t>
  </si>
  <si>
    <t>Year 3</t>
  </si>
  <si>
    <t>Year 4</t>
  </si>
  <si>
    <t>Year 5</t>
  </si>
  <si>
    <t>Recurring revenue (ticket+conc+sponsor+merch+raffle+food trucks)</t>
  </si>
  <si>
    <t>WeFunder / Equity raise (one-time)</t>
  </si>
  <si>
    <t>EXPENSES - inflated at general inflation rate</t>
  </si>
  <si>
    <t>Operational Expenses (player &amp; equipment)</t>
  </si>
  <si>
    <t>Game Day Expenses (incl Rose Stadium)</t>
  </si>
  <si>
    <t>Away Game Logistics</t>
  </si>
  <si>
    <t>League / Franchise / Corp Overhead</t>
  </si>
  <si>
    <t>NET INCOME (LOSS)</t>
  </si>
  <si>
    <t>Cumulative Net Income</t>
  </si>
  <si>
    <t>Memo: Rose Stadium cost (per season) growing 4%</t>
  </si>
  <si>
    <t>Rose Stadium / season</t>
  </si>
  <si>
    <t>Annual franchise fee</t>
  </si>
  <si>
    <t>10-YEAR PROFORMA FORECAST (2026-2035)  |  10% annual revenue growth</t>
  </si>
  <si>
    <t>Year 6</t>
  </si>
  <si>
    <t>Year 7</t>
  </si>
  <si>
    <t>Year 8</t>
  </si>
  <si>
    <t>Year 9</t>
  </si>
  <si>
    <t>Year 10</t>
  </si>
  <si>
    <t>SPONSORSHIP PLAN - WEFUNDER PROFILE + TIER STRUCTURE</t>
  </si>
  <si>
    <t>Anchor strategy: lead with CHRISTUS Health (already on stadium); fill tiers with regional brands.</t>
  </si>
  <si>
    <t>SPONSORSHIP TIERS</t>
  </si>
  <si>
    <t>Tier</t>
  </si>
  <si>
    <t>Annual $ each</t>
  </si>
  <si>
    <t># Spots</t>
  </si>
  <si>
    <t>Total $</t>
  </si>
  <si>
    <t>Cumulative</t>
  </si>
  <si>
    <t>Benefits</t>
  </si>
  <si>
    <t>Title / Naming Rights (CHRISTUS target)</t>
  </si>
  <si>
    <t>Stadium-aligned name presence; top logo placement; LED dominance; PA mentions; suite</t>
  </si>
  <si>
    <t>Platinum</t>
  </si>
  <si>
    <t>Field signage; jersey patch; suite access; 50 tickets/game</t>
  </si>
  <si>
    <t>Gold</t>
  </si>
  <si>
    <t>Endzone signage; PA mentions; 30 tickets/game</t>
  </si>
  <si>
    <t>Silver</t>
  </si>
  <si>
    <t>Concourse signage; 20 tickets/game; web logo</t>
  </si>
  <si>
    <t>Bronze</t>
  </si>
  <si>
    <t>Program ad; 10 tickets/game; web logo</t>
  </si>
  <si>
    <t>Local business / community</t>
  </si>
  <si>
    <t>Web logo; 4 tickets/game</t>
  </si>
  <si>
    <t>GROSS SPONSORSHIP POTENTIAL</t>
  </si>
  <si>
    <t>Less: 20% sales commission</t>
  </si>
  <si>
    <t>NET TO TEAM (compare to $131,600 in breakeven workbook)</t>
  </si>
  <si>
    <t>WEFUNDER REG CF CAMPAIGN PROFILE</t>
  </si>
  <si>
    <t>Campaign type</t>
  </si>
  <si>
    <t>Regulation Crowdfunding (Reg CF) - up to $5M cap</t>
  </si>
  <si>
    <t>Working target</t>
  </si>
  <si>
    <t>$100,000 (per existing breakeven model)</t>
  </si>
  <si>
    <t>Stretch target</t>
  </si>
  <si>
    <t>$250,000</t>
  </si>
  <si>
    <t>Average check size</t>
  </si>
  <si>
    <t>$1,000</t>
  </si>
  <si>
    <t>Investor base</t>
  </si>
  <si>
    <t>Tyler/Smith County residents, alumni, sports fans, season-ticket prospects</t>
  </si>
  <si>
    <t>Investor perks</t>
  </si>
  <si>
    <t>Founders' jersey, naming on Founders Wall, season ticket discount, annual investor tailgate</t>
  </si>
  <si>
    <t>Anchor narrative</t>
  </si>
  <si>
    <t>First-ever East Texas pro football team; play at iconic Rose Stadium; CHRISTUS-anchored sponsor base</t>
  </si>
  <si>
    <t>Marketing mix</t>
  </si>
  <si>
    <t>Local PR, KETK / KLTV news, FB/IG geo-targeted ads, church &amp; chamber outreach, alumni networks (UT Tyler, TJC, Lee/Tyler HS)</t>
  </si>
  <si>
    <t>Use of funds disclosure</t>
  </si>
  <si>
    <t>Equipment, marketing, working capital, league fees - itemized in Form C</t>
  </si>
  <si>
    <t>Compliance partner</t>
  </si>
  <si>
    <t>WeFunder (broker-dealer fees ~6.5% + escrow)</t>
  </si>
  <si>
    <t>TARGET ANCHOR &amp; PRIORITY SPONSORS (East Texas)</t>
  </si>
  <si>
    <t>Sponsor</t>
  </si>
  <si>
    <t>Tier Target</t>
  </si>
  <si>
    <t>Rationale</t>
  </si>
  <si>
    <t>CHRISTUS Health</t>
  </si>
  <si>
    <t>Title / Naming</t>
  </si>
  <si>
    <t>Already title sponsor of Rose Stadium; natural alignment; healthcare leader</t>
  </si>
  <si>
    <t>UT Health East Texas</t>
  </si>
  <si>
    <t>Healthcare competitor; medical sponsor opportunity</t>
  </si>
  <si>
    <t>Brookshire Grocery Co.</t>
  </si>
  <si>
    <t>Headquartered in Tyler; strong community ties</t>
  </si>
  <si>
    <t>Southside Bank / Texas Bank &amp; Trust</t>
  </si>
  <si>
    <t>Regional bank presence</t>
  </si>
  <si>
    <t>Tyler Toyota / Patterson Auto Group</t>
  </si>
  <si>
    <t>Auto dealer category</t>
  </si>
  <si>
    <t>Mid-South Synergy / Oncor</t>
  </si>
  <si>
    <t>Energy / utility category</t>
  </si>
  <si>
    <t>Bush's Chicken / Stanley's BBQ</t>
  </si>
  <si>
    <t>Local QSR / iconic Tyler eats</t>
  </si>
  <si>
    <t>UT Tyler / Tyler Junior College</t>
  </si>
  <si>
    <t>Higher-ed partnership / talent pipeline</t>
  </si>
  <si>
    <t>Local law firms</t>
  </si>
  <si>
    <t>Community presence packs</t>
  </si>
  <si>
    <t>Local realtors / chambers</t>
  </si>
  <si>
    <t>Local Business</t>
  </si>
  <si>
    <t>High-volume small ticket</t>
  </si>
  <si>
    <t>MARKET ANALYSIS - SMITH COUNTY &amp; EAST TEXAS DRAW AREA</t>
  </si>
  <si>
    <t>POPULATION OF DRAW AREA</t>
  </si>
  <si>
    <t>Geography</t>
  </si>
  <si>
    <t>Population</t>
  </si>
  <si>
    <t>Distance from Tyler</t>
  </si>
  <si>
    <t>% Capture target</t>
  </si>
  <si>
    <t>Attendance contribution</t>
  </si>
  <si>
    <t>Smith County (home)</t>
  </si>
  <si>
    <t>0 mi</t>
  </si>
  <si>
    <t>Tyler (city only)</t>
  </si>
  <si>
    <t>Gregg County (Longview)</t>
  </si>
  <si>
    <t>35 mi</t>
  </si>
  <si>
    <t>Henderson County</t>
  </si>
  <si>
    <t>30 mi</t>
  </si>
  <si>
    <t>Cherokee County</t>
  </si>
  <si>
    <t>Van Zandt County</t>
  </si>
  <si>
    <t>Rusk County</t>
  </si>
  <si>
    <t>40 mi</t>
  </si>
  <si>
    <t>Wood County</t>
  </si>
  <si>
    <t>Anderson County</t>
  </si>
  <si>
    <t>Upshur County</t>
  </si>
  <si>
    <t>TOTAL CATCHMENT (excl. Tyler row to avoid double-count)</t>
  </si>
  <si>
    <t>Modeled attendance / game (per breakeven workbook)</t>
  </si>
  <si>
    <t>Year 1 capacity utilization</t>
  </si>
  <si>
    <t>ATTENDANCE GROWTH PATH (10% YoY)</t>
  </si>
  <si>
    <t>Year</t>
  </si>
  <si>
    <t>Avg Attendance</t>
  </si>
  <si>
    <t>Capacity %</t>
  </si>
  <si>
    <t>Stadium fits target?</t>
  </si>
  <si>
    <t>ADDITIONAL COSTS NOT IN ORIGINAL BREAKEVEN MODEL</t>
  </si>
  <si>
    <t>Each item below has been added to Sheet 4 (Year 1 Proforma) under 'League/Franchise/Corp Overhead'. Use this list as a checkpoint.</t>
  </si>
  <si>
    <t>Category</t>
  </si>
  <si>
    <t>Y1 Estimate</t>
  </si>
  <si>
    <t>Why it matters / risk if omitted</t>
  </si>
  <si>
    <t>CoFL annual franchise fee</t>
  </si>
  <si>
    <t>League membership; required to operate</t>
  </si>
  <si>
    <t>Legal setup (one-time)</t>
  </si>
  <si>
    <t>LLC formation, contracts, league agreements, IP</t>
  </si>
  <si>
    <t>Ongoing accounting / bookkeeping</t>
  </si>
  <si>
    <t>Monthly close, payroll, sales tax, 1099s</t>
  </si>
  <si>
    <t>General liability insurance</t>
  </si>
  <si>
    <t>Crowd injury, slip-and-fall claims</t>
  </si>
  <si>
    <t>Player accident &amp; workers' comp</t>
  </si>
  <si>
    <t>Required - players get hurt</t>
  </si>
  <si>
    <t>Director &amp; Officer (D&amp;O)</t>
  </si>
  <si>
    <t>Protects board / ownership group</t>
  </si>
  <si>
    <t>Marketing &amp; advertising</t>
  </si>
  <si>
    <t>Drives attendance &amp; sponsor ROI</t>
  </si>
  <si>
    <t>Website + ticketing platform</t>
  </si>
  <si>
    <t>Hosting, maintenance, ticket platform fees</t>
  </si>
  <si>
    <t>Payment processing (3% of card revenue)</t>
  </si>
  <si>
    <t>~$3-5K</t>
  </si>
  <si>
    <t>Stripe/Square fees on ticket+merch+conc</t>
  </si>
  <si>
    <t>Background checks</t>
  </si>
  <si>
    <t>Required for staff / coaches / volunteers</t>
  </si>
  <si>
    <t>Performance + retention</t>
  </si>
  <si>
    <t>Medical supplies &amp; training room</t>
  </si>
  <si>
    <t>Tape, ice, baseline kits</t>
  </si>
  <si>
    <t>Liability protection</t>
  </si>
  <si>
    <t>Game-day field prep</t>
  </si>
  <si>
    <t>Towel &amp; laundry service</t>
  </si>
  <si>
    <t>60+ uniform sets</t>
  </si>
  <si>
    <t>Photography / videography</t>
  </si>
  <si>
    <t>Marketing assets, sponsor decks</t>
  </si>
  <si>
    <t>Livestream production</t>
  </si>
  <si>
    <t>Out-of-market fans, sponsor value</t>
  </si>
  <si>
    <t>Statistician / scorekeeper</t>
  </si>
  <si>
    <t>Required for league record-keeping</t>
  </si>
  <si>
    <t>Media relations, story placement</t>
  </si>
  <si>
    <t>Player recruitment / tryouts</t>
  </si>
  <si>
    <t>Roster construction</t>
  </si>
  <si>
    <t>League dues / assessments</t>
  </si>
  <si>
    <t>Beyond franchise fee</t>
  </si>
  <si>
    <t>Tax prep &amp; light audit</t>
  </si>
  <si>
    <t>CPA Q4/Q1 work</t>
  </si>
  <si>
    <t>Travel insurance</t>
  </si>
  <si>
    <t>Bus crash protection</t>
  </si>
  <si>
    <t>Replay / sideline tablets</t>
  </si>
  <si>
    <t>Modern football standard</t>
  </si>
  <si>
    <t>Front office needs a home</t>
  </si>
  <si>
    <t>Phones, internet, Slack, MS365</t>
  </si>
  <si>
    <t>Comms infrastructure</t>
  </si>
  <si>
    <t>Operating account fees</t>
  </si>
  <si>
    <t>Modeled</t>
  </si>
  <si>
    <t>Buffer for surprises</t>
  </si>
  <si>
    <t>Stadium concession buyout (if Tyler ISD declines)</t>
  </si>
  <si>
    <t>$250/day x 3 home games</t>
  </si>
  <si>
    <t>EMT / on-site medical (per game)</t>
  </si>
  <si>
    <t>$60/hr x 6 hrs x 3 games</t>
  </si>
  <si>
    <t>PA announcer &amp; game ops</t>
  </si>
  <si>
    <t>Polish for fan experience</t>
  </si>
  <si>
    <t>Trademark filing</t>
  </si>
  <si>
    <t>Protect team name &amp; marks</t>
  </si>
  <si>
    <t>WeFunder broker-dealer fee (~6.5%)</t>
  </si>
  <si>
    <t>On $100K raise = ~$6.5K</t>
  </si>
  <si>
    <t>REQUIRED EMPLOYEES &amp; STAFFING PLAN</t>
  </si>
  <si>
    <t>GAME-DAY STAFFING (PER HOME GAME)</t>
  </si>
  <si>
    <t>Rate / hr</t>
  </si>
  <si>
    <t>Hours / game</t>
  </si>
  <si>
    <t>Stadium-required Tyler ISD staff</t>
  </si>
  <si>
    <t>Custodians</t>
  </si>
  <si>
    <t>Security officers</t>
  </si>
  <si>
    <t>Capacity-based; ~1 per 235 attendees</t>
  </si>
  <si>
    <t>Scoreboard / clock op</t>
  </si>
  <si>
    <t>Stadium-required</t>
  </si>
  <si>
    <t>Flat fee per game</t>
  </si>
  <si>
    <t>Game-day workers</t>
  </si>
  <si>
    <t>Crew of 6 per game</t>
  </si>
  <si>
    <t>Per-game stipend basis</t>
  </si>
  <si>
    <t>Stipend per week, on-site game day</t>
  </si>
  <si>
    <t>Coaches (HC + 6 asst)</t>
  </si>
  <si>
    <t>Stipend</t>
  </si>
  <si>
    <t>Salaried/stipend - not hourly</t>
  </si>
  <si>
    <t>Players (active roster)</t>
  </si>
  <si>
    <t>FRONT OFFICE / FULL-TIME STAFFING</t>
  </si>
  <si>
    <t>General Manager</t>
  </si>
  <si>
    <t>FT</t>
  </si>
  <si>
    <t>Builds program; investor / sponsor face</t>
  </si>
  <si>
    <t>Director of Marketing &amp; Sales</t>
  </si>
  <si>
    <t>Drives ticket + sponsor revenue</t>
  </si>
  <si>
    <t>Operations / Game-Day Coordinator</t>
  </si>
  <si>
    <t>PT/FT</t>
  </si>
  <si>
    <t>Handles vendor, league, stadium logistics</t>
  </si>
  <si>
    <t>Bookkeeper / Office Admin</t>
  </si>
  <si>
    <t>PT</t>
  </si>
  <si>
    <t>10-15 hrs/wk</t>
  </si>
  <si>
    <t>Social Media / Content (contract)</t>
  </si>
  <si>
    <t>Contract</t>
  </si>
  <si>
    <t>Year-round content + game day</t>
  </si>
  <si>
    <t>Period</t>
  </si>
  <si>
    <t>Cost to buy</t>
  </si>
  <si>
    <t>Sponsorships</t>
  </si>
  <si>
    <t>Revenues</t>
  </si>
  <si>
    <t>Expenses</t>
  </si>
  <si>
    <t>Net CF</t>
  </si>
  <si>
    <t>To Recoup</t>
  </si>
  <si>
    <t>PV</t>
  </si>
  <si>
    <t>PV to Recoup</t>
  </si>
  <si>
    <t>Payback</t>
  </si>
  <si>
    <t>Discounted Payback</t>
  </si>
  <si>
    <t>NPV:</t>
  </si>
  <si>
    <t>NPV (check):</t>
  </si>
  <si>
    <t>IRR:</t>
  </si>
  <si>
    <t>no breakeven point within 10 years for discounted payback</t>
  </si>
  <si>
    <t>MIRR: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</si>
</sst>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;\(0.0%\);\-"/>
    <numFmt numFmtId="165" formatCode="#,##0;\(#,##0\);\-"/>
    <numFmt numFmtId="166" formatCode="\$#,##0;&quot;($&quot;#,##0\);\-"/>
    <numFmt numFmtId="167" formatCode="0.00000%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83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10" fillId="4" borderId="5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10" fillId="4" borderId="5" xfId="0" applyNumberFormat="1" applyFont="1" applyFill="1" applyBorder="1" applyAlignment="1">
      <alignment horizontal="right" vertical="center" wrapText="1"/>
    </xf>
    <xf numFmtId="166" fontId="10" fillId="4" borderId="5" xfId="0" applyNumberFormat="1" applyFont="1" applyFill="1" applyBorder="1" applyAlignment="1">
      <alignment horizontal="right" vertical="center" wrapText="1"/>
    </xf>
    <xf numFmtId="0" fontId="7" fillId="5" borderId="5" xfId="0" applyFont="1" applyFill="1" applyBorder="1"/>
    <xf numFmtId="166" fontId="10" fillId="0" borderId="0" xfId="0" applyNumberFormat="1" applyFont="1"/>
    <xf numFmtId="166" fontId="12" fillId="0" borderId="0" xfId="0" applyNumberFormat="1" applyFont="1"/>
    <xf numFmtId="166" fontId="4" fillId="6" borderId="6" xfId="0" applyNumberFormat="1" applyFont="1" applyFill="1" applyBorder="1"/>
    <xf numFmtId="164" fontId="8" fillId="0" borderId="0" xfId="0" applyNumberFormat="1" applyFont="1"/>
    <xf numFmtId="166" fontId="7" fillId="6" borderId="6" xfId="0" applyNumberFormat="1" applyFont="1" applyFill="1" applyBorder="1"/>
    <xf numFmtId="166" fontId="7" fillId="4" borderId="5" xfId="0" applyNumberFormat="1" applyFont="1" applyFill="1" applyBorder="1"/>
    <xf numFmtId="165" fontId="10" fillId="0" borderId="0" xfId="0" applyNumberFormat="1" applyFont="1"/>
    <xf numFmtId="166" fontId="13" fillId="0" borderId="0" xfId="0" applyNumberFormat="1" applyFont="1"/>
    <xf numFmtId="0" fontId="14" fillId="0" borderId="0" xfId="0" applyFont="1"/>
    <xf numFmtId="166" fontId="14" fillId="8" borderId="6" xfId="0" applyNumberFormat="1" applyFont="1" applyFill="1" applyBorder="1"/>
    <xf numFmtId="166" fontId="7" fillId="0" borderId="7" xfId="0" applyNumberFormat="1" applyFont="1" applyBorder="1"/>
    <xf numFmtId="164" fontId="10" fillId="0" borderId="0" xfId="0" applyNumberFormat="1" applyFont="1"/>
    <xf numFmtId="166" fontId="4" fillId="5" borderId="6" xfId="0" applyNumberFormat="1" applyFont="1" applyFill="1" applyBorder="1"/>
    <xf numFmtId="166" fontId="4" fillId="4" borderId="8" xfId="0" applyNumberFormat="1" applyFont="1" applyFill="1" applyBorder="1"/>
    <xf numFmtId="164" fontId="7" fillId="0" borderId="0" xfId="0" applyNumberFormat="1" applyFont="1"/>
    <xf numFmtId="166" fontId="7" fillId="8" borderId="6" xfId="0" applyNumberFormat="1" applyFont="1" applyFill="1" applyBorder="1"/>
    <xf numFmtId="166" fontId="7" fillId="5" borderId="6" xfId="0" applyNumberFormat="1" applyFont="1" applyFill="1" applyBorder="1"/>
    <xf numFmtId="166" fontId="14" fillId="4" borderId="8" xfId="0" applyNumberFormat="1" applyFont="1" applyFill="1" applyBorder="1"/>
    <xf numFmtId="0" fontId="15" fillId="0" borderId="0" xfId="0" applyFont="1"/>
    <xf numFmtId="166" fontId="15" fillId="6" borderId="5" xfId="0" applyNumberFormat="1" applyFont="1" applyFill="1" applyBorder="1"/>
    <xf numFmtId="166" fontId="7" fillId="6" borderId="5" xfId="0" applyNumberFormat="1" applyFont="1" applyFill="1" applyBorder="1"/>
    <xf numFmtId="0" fontId="16" fillId="0" borderId="0" xfId="0" applyFont="1"/>
    <xf numFmtId="166" fontId="16" fillId="0" borderId="0" xfId="0" applyNumberFormat="1" applyFont="1"/>
    <xf numFmtId="166" fontId="7" fillId="8" borderId="5" xfId="0" applyNumberFormat="1" applyFont="1" applyFill="1" applyBorder="1"/>
    <xf numFmtId="165" fontId="12" fillId="0" borderId="0" xfId="0" applyNumberFormat="1" applyFont="1"/>
    <xf numFmtId="165" fontId="7" fillId="6" borderId="5" xfId="0" applyNumberFormat="1" applyFont="1" applyFill="1" applyBorder="1"/>
    <xf numFmtId="165" fontId="13" fillId="0" borderId="0" xfId="0" applyNumberFormat="1" applyFont="1"/>
    <xf numFmtId="164" fontId="7" fillId="4" borderId="5" xfId="0" applyNumberFormat="1" applyFont="1" applyFill="1" applyBorder="1"/>
    <xf numFmtId="164" fontId="12" fillId="0" borderId="0" xfId="0" applyNumberFormat="1" applyFont="1"/>
    <xf numFmtId="0" fontId="12" fillId="0" borderId="0" xfId="0" applyFont="1"/>
    <xf numFmtId="0" fontId="10" fillId="0" borderId="0" xfId="0" applyFont="1"/>
    <xf numFmtId="0" fontId="9" fillId="2" borderId="4" xfId="0" applyFont="1" applyFill="1" applyBorder="1" applyAlignment="1">
      <alignment horizontal="left" vertical="center" wrapText="1"/>
    </xf>
    <xf numFmtId="165" fontId="10" fillId="2" borderId="4" xfId="0" applyNumberFormat="1" applyFont="1" applyFill="1" applyBorder="1" applyAlignment="1">
      <alignment horizontal="center" vertical="center" wrapText="1"/>
    </xf>
    <xf numFmtId="166" fontId="10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0" applyFont="1"/>
    <xf numFmtId="44" fontId="0" fillId="0" borderId="0" xfId="1" applyFont="1"/>
    <xf numFmtId="0" fontId="18" fillId="0" borderId="0" xfId="0" applyFont="1"/>
    <xf numFmtId="0" fontId="0" fillId="0" borderId="9" xfId="0" applyBorder="1"/>
    <xf numFmtId="0" fontId="0" fillId="0" borderId="10" xfId="0" applyBorder="1"/>
    <xf numFmtId="0" fontId="19" fillId="0" borderId="10" xfId="0" applyFont="1" applyBorder="1"/>
    <xf numFmtId="167" fontId="0" fillId="0" borderId="10" xfId="0" applyNumberFormat="1" applyBorder="1"/>
    <xf numFmtId="0" fontId="19" fillId="0" borderId="11" xfId="0" applyFont="1" applyBorder="1"/>
    <xf numFmtId="0" fontId="19" fillId="0" borderId="12" xfId="0" applyFont="1" applyBorder="1"/>
    <xf numFmtId="0" fontId="19" fillId="0" borderId="5" xfId="0" applyFont="1" applyBorder="1"/>
    <xf numFmtId="0" fontId="19" fillId="0" borderId="13" xfId="0" applyFont="1" applyBorder="1"/>
    <xf numFmtId="0" fontId="0" fillId="0" borderId="12" xfId="0" applyBorder="1"/>
    <xf numFmtId="44" fontId="0" fillId="0" borderId="5" xfId="1" applyFont="1" applyBorder="1"/>
    <xf numFmtId="0" fontId="0" fillId="0" borderId="5" xfId="0" applyBorder="1"/>
    <xf numFmtId="44" fontId="0" fillId="0" borderId="5" xfId="0" applyNumberFormat="1" applyBorder="1"/>
    <xf numFmtId="44" fontId="0" fillId="0" borderId="13" xfId="0" applyNumberFormat="1" applyBorder="1"/>
    <xf numFmtId="166" fontId="0" fillId="0" borderId="5" xfId="0" applyNumberFormat="1" applyBorder="1"/>
    <xf numFmtId="44" fontId="18" fillId="0" borderId="5" xfId="0" applyNumberFormat="1" applyFont="1" applyBorder="1"/>
    <xf numFmtId="0" fontId="0" fillId="0" borderId="13" xfId="0" applyBorder="1"/>
    <xf numFmtId="0" fontId="1" fillId="0" borderId="5" xfId="0" applyFont="1" applyBorder="1" applyAlignment="1">
      <alignment horizontal="right"/>
    </xf>
    <xf numFmtId="167" fontId="0" fillId="0" borderId="5" xfId="0" applyNumberFormat="1" applyBorder="1"/>
    <xf numFmtId="0" fontId="0" fillId="0" borderId="14" xfId="0" applyBorder="1"/>
    <xf numFmtId="0" fontId="0" fillId="0" borderId="15" xfId="0" applyBorder="1"/>
    <xf numFmtId="0" fontId="1" fillId="0" borderId="15" xfId="0" applyFont="1" applyBorder="1" applyAlignment="1">
      <alignment horizontal="right"/>
    </xf>
    <xf numFmtId="167" fontId="0" fillId="0" borderId="15" xfId="0" applyNumberFormat="1" applyBorder="1"/>
    <xf numFmtId="0" fontId="0" fillId="0" borderId="16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714375</xdr:colOff>
      <xdr:row>34</xdr:row>
      <xdr:rowOff>157067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81FB2-7C34-B8F9-E362-D9D2A39F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39150" cy="6634067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35</xdr:row>
      <xdr:rowOff>142875</xdr:rowOff>
    </xdr:from>
    <xdr:to>
      <xdr:col>10</xdr:col>
      <xdr:colOff>86555</xdr:colOff>
      <xdr:row>53</xdr:row>
      <xdr:rowOff>29038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76F6A-7016-5F18-8AC4-C61ACC23A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6810375"/>
          <a:ext cx="5944430" cy="3315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14</xdr:col>
      <xdr:colOff>125254</xdr:colOff>
      <xdr:row>79</xdr:row>
      <xdr:rowOff>173465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D06D6C-6F3D-456C-8407-86A50B64F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77500"/>
          <a:ext cx="9412129" cy="47454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12</xdr:col>
      <xdr:colOff>563429</xdr:colOff>
      <xdr:row>112</xdr:row>
      <xdr:rowOff>64432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87BB76-85A8-4B24-B49A-C8820A3D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430500"/>
          <a:ext cx="8288204" cy="5969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7</xdr:col>
      <xdr:colOff>172070</xdr:colOff>
      <xdr:row>129</xdr:row>
      <xdr:rowOff>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1C101A-CE08-C418-96DC-F0CDC090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717000"/>
          <a:ext cx="4439270" cy="28578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urrit, Nathan Allen" id="{86952C0D-88B3-47AC-B9C6-14E00F842058}" userId="S::nc17@txstate.edu::489eeb76-747d-45d1-afc5-435906c051c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5-09T01:44:54.53" personId="{86952C0D-88B3-47AC-B9C6-14E00F842058}" id="{03A22435-ACBB-4170-9032-806389C01180}">
    <text>20% of what?</text>
  </threadedComment>
  <threadedComment ref="C13" dT="2026-05-09T01:45:18.68" personId="{86952C0D-88B3-47AC-B9C6-14E00F842058}" id="{FBF769A0-4B10-4349-91BC-B381BAA0E18F}">
    <text>This is 20% of what?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6-05-09T16:48:15.85" personId="{86952C0D-88B3-47AC-B9C6-14E00F842058}" id="{D2D2B385-7C45-4ADD-AB16-4D8E62157FCD}">
    <text>Delete row because this is already taken into account. Moreover, it is taken into account every year in the proforma revenue and never subtracted out when calculating 10% annual increase.</text>
  </threadedComment>
  <threadedComment ref="C14" dT="2026-05-09T16:52:25.77" personId="{86952C0D-88B3-47AC-B9C6-14E00F842058}" id="{63ECBE66-7864-4505-803A-A567643D393C}">
    <text>$7,500 of legal fees were subtracted out (claiming in the proforma that they were only for the 1st year). I added them back (by not subtracting them out) because there will be continuing legal fees if we need to WeFunder each year...as in the proforma.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6" dT="2026-05-09T01:57:14.11" personId="{86952C0D-88B3-47AC-B9C6-14E00F842058}" id="{C27BC370-6EE1-4C55-9817-4252F4847F44}">
    <text>Seating capacity increases each year until at full capacity</text>
  </threadedComment>
  <threadedComment ref="G36" dT="2026-05-09T02:06:39.52" personId="{86952C0D-88B3-47AC-B9C6-14E00F842058}" id="{944CD9C2-124E-48E8-B023-5722AD0E0B35}">
    <text>Breakeven is somewhere between here and the cell below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workbookViewId="0">
      <selection activeCell="B18" sqref="B18"/>
    </sheetView>
  </sheetViews>
  <sheetFormatPr defaultColWidth="14.42578125" defaultRowHeight="15" customHeight="1" x14ac:dyDescent="0.25"/>
  <cols>
    <col min="1" max="1" width="38" customWidth="1"/>
    <col min="2" max="8" width="22" customWidth="1"/>
    <col min="9" max="26" width="8.7109375" customWidth="1"/>
  </cols>
  <sheetData>
    <row r="1" spans="1:8" ht="25.5" customHeight="1" x14ac:dyDescent="0.25">
      <c r="A1" s="73" t="s">
        <v>0</v>
      </c>
      <c r="B1" s="74"/>
      <c r="C1" s="74"/>
      <c r="D1" s="74"/>
      <c r="E1" s="74"/>
      <c r="F1" s="74"/>
      <c r="G1" s="74"/>
      <c r="H1" s="75"/>
    </row>
    <row r="2" spans="1:8" ht="15.75" x14ac:dyDescent="0.25">
      <c r="A2" s="1" t="s">
        <v>1</v>
      </c>
    </row>
    <row r="3" spans="1:8" x14ac:dyDescent="0.25">
      <c r="A3" s="2" t="s">
        <v>2</v>
      </c>
    </row>
    <row r="5" spans="1:8" ht="19.5" customHeight="1" x14ac:dyDescent="0.25">
      <c r="A5" s="79" t="s">
        <v>3</v>
      </c>
      <c r="B5" s="74"/>
      <c r="C5" s="74"/>
      <c r="D5" s="74"/>
      <c r="E5" s="74"/>
      <c r="F5" s="74"/>
      <c r="G5" s="74"/>
      <c r="H5" s="75"/>
    </row>
    <row r="6" spans="1:8" ht="15" customHeight="1" x14ac:dyDescent="0.25">
      <c r="A6" s="3" t="s">
        <v>4</v>
      </c>
      <c r="B6" s="80" t="s">
        <v>5</v>
      </c>
      <c r="C6" s="81"/>
      <c r="D6" s="81"/>
      <c r="E6" s="81"/>
      <c r="F6" s="81"/>
      <c r="G6" s="81"/>
      <c r="H6" s="81"/>
    </row>
    <row r="7" spans="1:8" ht="15" customHeight="1" x14ac:dyDescent="0.25">
      <c r="A7" s="3" t="s">
        <v>6</v>
      </c>
      <c r="B7" s="80" t="s">
        <v>7</v>
      </c>
      <c r="C7" s="81"/>
      <c r="D7" s="81"/>
      <c r="E7" s="81"/>
      <c r="F7" s="81"/>
      <c r="G7" s="81"/>
      <c r="H7" s="81"/>
    </row>
    <row r="8" spans="1:8" ht="15" customHeight="1" x14ac:dyDescent="0.25">
      <c r="A8" s="3" t="s">
        <v>8</v>
      </c>
      <c r="B8" s="80" t="s">
        <v>9</v>
      </c>
      <c r="C8" s="81"/>
      <c r="D8" s="81"/>
      <c r="E8" s="81"/>
      <c r="F8" s="81"/>
      <c r="G8" s="81"/>
      <c r="H8" s="81"/>
    </row>
    <row r="9" spans="1:8" ht="15" customHeight="1" x14ac:dyDescent="0.25">
      <c r="A9" s="3" t="s">
        <v>10</v>
      </c>
      <c r="B9" s="80" t="s">
        <v>11</v>
      </c>
      <c r="C9" s="81"/>
      <c r="D9" s="81"/>
      <c r="E9" s="81"/>
      <c r="F9" s="81"/>
      <c r="G9" s="81"/>
      <c r="H9" s="81"/>
    </row>
    <row r="10" spans="1:8" ht="15" customHeight="1" x14ac:dyDescent="0.25">
      <c r="A10" s="3" t="s">
        <v>12</v>
      </c>
      <c r="B10" s="80" t="s">
        <v>13</v>
      </c>
      <c r="C10" s="81"/>
      <c r="D10" s="81"/>
      <c r="E10" s="81"/>
      <c r="F10" s="81"/>
      <c r="G10" s="81"/>
      <c r="H10" s="81"/>
    </row>
    <row r="11" spans="1:8" ht="15" customHeight="1" x14ac:dyDescent="0.25">
      <c r="A11" s="3" t="s">
        <v>14</v>
      </c>
      <c r="B11" s="80" t="s">
        <v>15</v>
      </c>
      <c r="C11" s="81"/>
      <c r="D11" s="81"/>
      <c r="E11" s="81"/>
      <c r="F11" s="81"/>
      <c r="G11" s="81"/>
      <c r="H11" s="81"/>
    </row>
    <row r="12" spans="1:8" ht="15" customHeight="1" x14ac:dyDescent="0.25">
      <c r="A12" s="3" t="s">
        <v>16</v>
      </c>
      <c r="B12" s="80" t="s">
        <v>17</v>
      </c>
      <c r="C12" s="81"/>
      <c r="D12" s="81"/>
      <c r="E12" s="81"/>
      <c r="F12" s="81"/>
      <c r="G12" s="81"/>
      <c r="H12" s="81"/>
    </row>
    <row r="14" spans="1:8" ht="19.5" customHeight="1" x14ac:dyDescent="0.25">
      <c r="A14" s="79" t="s">
        <v>18</v>
      </c>
      <c r="B14" s="74"/>
      <c r="C14" s="74"/>
      <c r="D14" s="74"/>
      <c r="E14" s="74"/>
      <c r="F14" s="74"/>
      <c r="G14" s="74"/>
      <c r="H14" s="75"/>
    </row>
    <row r="15" spans="1:8" x14ac:dyDescent="0.25">
      <c r="A15" s="5" t="s">
        <v>19</v>
      </c>
      <c r="B15" s="5" t="s">
        <v>20</v>
      </c>
      <c r="C15" s="5" t="s">
        <v>21</v>
      </c>
      <c r="D15" s="5" t="s">
        <v>22</v>
      </c>
    </row>
    <row r="16" spans="1:8" ht="15" customHeight="1" x14ac:dyDescent="0.25">
      <c r="A16" s="4" t="s">
        <v>23</v>
      </c>
      <c r="B16" s="6">
        <v>0.1</v>
      </c>
      <c r="C16" s="7"/>
      <c r="D16" s="82" t="s">
        <v>24</v>
      </c>
      <c r="E16" s="81"/>
      <c r="F16" s="81"/>
      <c r="G16" s="81"/>
      <c r="H16" s="81"/>
    </row>
    <row r="17" spans="1:8" ht="15" customHeight="1" x14ac:dyDescent="0.25">
      <c r="A17" s="4" t="s">
        <v>25</v>
      </c>
      <c r="B17" s="6">
        <v>0.04</v>
      </c>
      <c r="C17" s="7"/>
      <c r="D17" s="82" t="s">
        <v>26</v>
      </c>
      <c r="E17" s="81"/>
      <c r="F17" s="81"/>
      <c r="G17" s="81"/>
      <c r="H17" s="81"/>
    </row>
    <row r="18" spans="1:8" ht="15" customHeight="1" x14ac:dyDescent="0.25">
      <c r="A18" s="4" t="s">
        <v>27</v>
      </c>
      <c r="B18" s="9">
        <v>3</v>
      </c>
      <c r="C18" s="7"/>
      <c r="D18" s="82" t="s">
        <v>28</v>
      </c>
      <c r="E18" s="81"/>
      <c r="F18" s="81"/>
      <c r="G18" s="81"/>
      <c r="H18" s="81"/>
    </row>
    <row r="19" spans="1:8" ht="15" customHeight="1" x14ac:dyDescent="0.25">
      <c r="A19" s="4" t="s">
        <v>29</v>
      </c>
      <c r="B19" s="9">
        <v>5</v>
      </c>
      <c r="C19" s="7"/>
      <c r="D19" s="82" t="s">
        <v>30</v>
      </c>
      <c r="E19" s="81"/>
      <c r="F19" s="81"/>
      <c r="G19" s="81"/>
      <c r="H19" s="81"/>
    </row>
    <row r="20" spans="1:8" ht="15" customHeight="1" x14ac:dyDescent="0.25">
      <c r="A20" s="4" t="s">
        <v>31</v>
      </c>
      <c r="B20" s="9">
        <v>10566</v>
      </c>
      <c r="C20" s="7"/>
      <c r="D20" s="82" t="s">
        <v>32</v>
      </c>
      <c r="E20" s="81"/>
      <c r="F20" s="81"/>
      <c r="G20" s="81"/>
      <c r="H20" s="81"/>
    </row>
    <row r="21" spans="1:8" ht="15" customHeight="1" x14ac:dyDescent="0.25">
      <c r="A21" s="4" t="s">
        <v>33</v>
      </c>
      <c r="B21" s="9">
        <v>1875</v>
      </c>
      <c r="C21" s="7"/>
      <c r="D21" s="82" t="s">
        <v>34</v>
      </c>
      <c r="E21" s="81"/>
      <c r="F21" s="81"/>
      <c r="G21" s="81"/>
      <c r="H21" s="81"/>
    </row>
    <row r="22" spans="1:8" ht="15" customHeight="1" x14ac:dyDescent="0.25">
      <c r="A22" s="4" t="s">
        <v>35</v>
      </c>
      <c r="B22" s="10">
        <v>50000</v>
      </c>
      <c r="C22" s="7"/>
      <c r="D22" s="82" t="s">
        <v>36</v>
      </c>
      <c r="E22" s="81"/>
      <c r="F22" s="81"/>
      <c r="G22" s="81"/>
      <c r="H22" s="81"/>
    </row>
    <row r="23" spans="1:8" ht="15" customHeight="1" x14ac:dyDescent="0.25">
      <c r="A23" s="4" t="s">
        <v>37</v>
      </c>
      <c r="B23" s="10">
        <v>7500</v>
      </c>
      <c r="C23" s="7"/>
      <c r="D23" s="82" t="s">
        <v>38</v>
      </c>
      <c r="E23" s="81"/>
      <c r="F23" s="81"/>
      <c r="G23" s="81"/>
      <c r="H23" s="81"/>
    </row>
    <row r="24" spans="1:8" ht="15" customHeight="1" x14ac:dyDescent="0.25">
      <c r="A24" s="4" t="s">
        <v>39</v>
      </c>
      <c r="B24" s="9">
        <v>245000</v>
      </c>
      <c r="C24" s="7"/>
      <c r="D24" s="82" t="s">
        <v>40</v>
      </c>
      <c r="E24" s="81"/>
      <c r="F24" s="81"/>
      <c r="G24" s="81"/>
      <c r="H24" s="81"/>
    </row>
    <row r="25" spans="1:8" ht="15" customHeight="1" x14ac:dyDescent="0.25">
      <c r="A25" s="4" t="s">
        <v>41</v>
      </c>
      <c r="B25" s="9">
        <v>762000</v>
      </c>
      <c r="C25" s="7"/>
      <c r="D25" s="82" t="s">
        <v>42</v>
      </c>
      <c r="E25" s="81"/>
      <c r="F25" s="81"/>
      <c r="G25" s="81"/>
      <c r="H25" s="81"/>
    </row>
    <row r="26" spans="1:8" ht="15" customHeight="1" x14ac:dyDescent="0.25">
      <c r="A26" s="4" t="s">
        <v>43</v>
      </c>
      <c r="B26" s="9">
        <v>240000</v>
      </c>
      <c r="C26" s="7"/>
      <c r="D26" s="82" t="s">
        <v>44</v>
      </c>
      <c r="E26" s="81"/>
      <c r="F26" s="81"/>
      <c r="G26" s="81"/>
      <c r="H26" s="81"/>
    </row>
    <row r="27" spans="1:8" ht="15.75" customHeight="1" x14ac:dyDescent="0.25"/>
    <row r="28" spans="1:8" ht="15.75" customHeight="1" x14ac:dyDescent="0.25"/>
    <row r="29" spans="1:8" ht="19.5" customHeight="1" x14ac:dyDescent="0.25">
      <c r="A29" s="79" t="s">
        <v>45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5">
      <c r="A30" s="5" t="s">
        <v>46</v>
      </c>
      <c r="B30" s="5" t="s">
        <v>47</v>
      </c>
      <c r="C30" s="5"/>
      <c r="D30" s="5"/>
      <c r="E30" s="5"/>
      <c r="F30" s="5"/>
      <c r="G30" s="5"/>
      <c r="H30" s="5"/>
    </row>
    <row r="31" spans="1:8" ht="15" customHeight="1" x14ac:dyDescent="0.25">
      <c r="A31" s="3" t="s">
        <v>48</v>
      </c>
      <c r="B31" s="80" t="s">
        <v>32</v>
      </c>
      <c r="C31" s="81"/>
      <c r="D31" s="81"/>
      <c r="E31" s="81"/>
      <c r="F31" s="81"/>
      <c r="G31" s="81"/>
      <c r="H31" s="81"/>
    </row>
    <row r="32" spans="1:8" ht="15" customHeight="1" x14ac:dyDescent="0.25">
      <c r="A32" s="3" t="s">
        <v>49</v>
      </c>
      <c r="B32" s="80" t="s">
        <v>50</v>
      </c>
      <c r="C32" s="81"/>
      <c r="D32" s="81"/>
      <c r="E32" s="81"/>
      <c r="F32" s="81"/>
      <c r="G32" s="81"/>
      <c r="H32" s="81"/>
    </row>
    <row r="33" spans="1:8" ht="15" customHeight="1" x14ac:dyDescent="0.25">
      <c r="A33" s="3" t="s">
        <v>51</v>
      </c>
      <c r="B33" s="80" t="s">
        <v>52</v>
      </c>
      <c r="C33" s="81"/>
      <c r="D33" s="81"/>
      <c r="E33" s="81"/>
      <c r="F33" s="81"/>
      <c r="G33" s="81"/>
      <c r="H33" s="81"/>
    </row>
    <row r="34" spans="1:8" ht="15" customHeight="1" x14ac:dyDescent="0.25">
      <c r="A34" s="3" t="s">
        <v>53</v>
      </c>
      <c r="B34" s="80" t="s">
        <v>54</v>
      </c>
      <c r="C34" s="81"/>
      <c r="D34" s="81"/>
      <c r="E34" s="81"/>
      <c r="F34" s="81"/>
      <c r="G34" s="81"/>
      <c r="H34" s="81"/>
    </row>
    <row r="35" spans="1:8" ht="15" customHeight="1" x14ac:dyDescent="0.25">
      <c r="A35" s="3" t="s">
        <v>55</v>
      </c>
      <c r="B35" s="80" t="s">
        <v>56</v>
      </c>
      <c r="C35" s="81"/>
      <c r="D35" s="81"/>
      <c r="E35" s="81"/>
      <c r="F35" s="81"/>
      <c r="G35" s="81"/>
      <c r="H35" s="81"/>
    </row>
    <row r="36" spans="1:8" ht="15" customHeight="1" x14ac:dyDescent="0.25">
      <c r="A36" s="3" t="s">
        <v>57</v>
      </c>
      <c r="B36" s="80" t="s">
        <v>58</v>
      </c>
      <c r="C36" s="81"/>
      <c r="D36" s="81"/>
      <c r="E36" s="81"/>
      <c r="F36" s="81"/>
      <c r="G36" s="81"/>
      <c r="H36" s="81"/>
    </row>
    <row r="37" spans="1:8" ht="15" customHeight="1" x14ac:dyDescent="0.25">
      <c r="A37" s="3" t="s">
        <v>59</v>
      </c>
      <c r="B37" s="80" t="s">
        <v>60</v>
      </c>
      <c r="C37" s="81"/>
      <c r="D37" s="81"/>
      <c r="E37" s="81"/>
      <c r="F37" s="81"/>
      <c r="G37" s="81"/>
      <c r="H37" s="81"/>
    </row>
    <row r="38" spans="1:8" ht="15" customHeight="1" x14ac:dyDescent="0.25">
      <c r="A38" s="3" t="s">
        <v>61</v>
      </c>
      <c r="B38" s="80" t="s">
        <v>60</v>
      </c>
      <c r="C38" s="81"/>
      <c r="D38" s="81"/>
      <c r="E38" s="81"/>
      <c r="F38" s="81"/>
      <c r="G38" s="81"/>
      <c r="H38" s="81"/>
    </row>
    <row r="39" spans="1:8" ht="15" customHeight="1" x14ac:dyDescent="0.25">
      <c r="A39" s="3" t="s">
        <v>62</v>
      </c>
      <c r="B39" s="80" t="s">
        <v>63</v>
      </c>
      <c r="C39" s="81"/>
      <c r="D39" s="81"/>
      <c r="E39" s="81"/>
      <c r="F39" s="81"/>
      <c r="G39" s="81"/>
      <c r="H39" s="81"/>
    </row>
    <row r="40" spans="1:8" ht="15" customHeight="1" x14ac:dyDescent="0.25">
      <c r="A40" s="3" t="s">
        <v>64</v>
      </c>
      <c r="B40" s="80" t="s">
        <v>65</v>
      </c>
      <c r="C40" s="81"/>
      <c r="D40" s="81"/>
      <c r="E40" s="81"/>
      <c r="F40" s="81"/>
      <c r="G40" s="81"/>
      <c r="H40" s="81"/>
    </row>
    <row r="41" spans="1:8" ht="15" customHeight="1" x14ac:dyDescent="0.25">
      <c r="A41" s="11" t="s">
        <v>66</v>
      </c>
      <c r="B41" s="78" t="s">
        <v>67</v>
      </c>
      <c r="C41" s="74"/>
      <c r="D41" s="74"/>
      <c r="E41" s="74"/>
      <c r="F41" s="74"/>
      <c r="G41" s="74"/>
      <c r="H41" s="75"/>
    </row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">
    <mergeCell ref="A1:H1"/>
    <mergeCell ref="A5:H5"/>
    <mergeCell ref="B6:H6"/>
    <mergeCell ref="B7:H7"/>
    <mergeCell ref="B8:H8"/>
    <mergeCell ref="B9:H9"/>
    <mergeCell ref="B10:H10"/>
    <mergeCell ref="B11:H11"/>
    <mergeCell ref="B12:H12"/>
    <mergeCell ref="A14:H14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B37:H37"/>
    <mergeCell ref="B38:H38"/>
    <mergeCell ref="B39:H39"/>
    <mergeCell ref="B40:H40"/>
    <mergeCell ref="B41:H41"/>
    <mergeCell ref="A29:H29"/>
    <mergeCell ref="B31:H31"/>
    <mergeCell ref="B32:H32"/>
    <mergeCell ref="B33:H33"/>
    <mergeCell ref="B34:H34"/>
    <mergeCell ref="B35:H35"/>
    <mergeCell ref="B36:H36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topLeftCell="A6" workbookViewId="0">
      <selection activeCell="D23" sqref="D23"/>
    </sheetView>
  </sheetViews>
  <sheetFormatPr defaultColWidth="14.42578125" defaultRowHeight="15" customHeight="1" x14ac:dyDescent="0.25"/>
  <cols>
    <col min="1" max="1" width="50" bestFit="1" customWidth="1"/>
    <col min="2" max="4" width="16" customWidth="1"/>
    <col min="5" max="5" width="38" customWidth="1"/>
    <col min="6" max="26" width="8.7109375" customWidth="1"/>
  </cols>
  <sheetData>
    <row r="1" spans="1:5" ht="25.5" customHeight="1" x14ac:dyDescent="0.25">
      <c r="A1" s="73" t="s">
        <v>68</v>
      </c>
      <c r="B1" s="74"/>
      <c r="C1" s="74"/>
      <c r="D1" s="74"/>
      <c r="E1" s="75"/>
    </row>
    <row r="3" spans="1:5" x14ac:dyDescent="0.25">
      <c r="A3" s="2" t="s">
        <v>69</v>
      </c>
    </row>
    <row r="5" spans="1:5" ht="19.5" customHeight="1" x14ac:dyDescent="0.25">
      <c r="A5" s="79" t="s">
        <v>70</v>
      </c>
      <c r="B5" s="74"/>
      <c r="C5" s="74"/>
      <c r="D5" s="74"/>
      <c r="E5" s="75"/>
    </row>
    <row r="6" spans="1:5" x14ac:dyDescent="0.25">
      <c r="A6" s="5" t="s">
        <v>71</v>
      </c>
      <c r="B6" s="5" t="s">
        <v>72</v>
      </c>
      <c r="C6" s="5" t="s">
        <v>73</v>
      </c>
      <c r="D6" s="5" t="s">
        <v>74</v>
      </c>
      <c r="E6" s="5" t="s">
        <v>75</v>
      </c>
    </row>
    <row r="7" spans="1:5" ht="24" x14ac:dyDescent="0.25">
      <c r="A7" s="4" t="s">
        <v>76</v>
      </c>
      <c r="B7" s="12">
        <v>25000</v>
      </c>
      <c r="C7" s="12">
        <v>50000</v>
      </c>
      <c r="D7" s="13">
        <f t="shared" ref="D7:D22" si="0">AVERAGE(B7:C7)</f>
        <v>37500</v>
      </c>
      <c r="E7" s="8" t="s">
        <v>77</v>
      </c>
    </row>
    <row r="8" spans="1:5" x14ac:dyDescent="0.25">
      <c r="A8" s="4" t="s">
        <v>78</v>
      </c>
      <c r="B8" s="12">
        <v>5000</v>
      </c>
      <c r="C8" s="12">
        <v>10000</v>
      </c>
      <c r="D8" s="13">
        <f t="shared" si="0"/>
        <v>7500</v>
      </c>
      <c r="E8" s="8" t="s">
        <v>79</v>
      </c>
    </row>
    <row r="9" spans="1:5" x14ac:dyDescent="0.25">
      <c r="A9" s="4" t="s">
        <v>80</v>
      </c>
      <c r="B9" s="12">
        <v>3000</v>
      </c>
      <c r="C9" s="12">
        <v>5000</v>
      </c>
      <c r="D9" s="13">
        <f t="shared" si="0"/>
        <v>4000</v>
      </c>
      <c r="E9" s="8" t="s">
        <v>81</v>
      </c>
    </row>
    <row r="10" spans="1:5" ht="30" x14ac:dyDescent="0.25">
      <c r="A10" s="4" t="s">
        <v>82</v>
      </c>
      <c r="B10" s="12">
        <v>25000</v>
      </c>
      <c r="C10" s="12">
        <v>50000</v>
      </c>
      <c r="D10" s="13">
        <f t="shared" si="0"/>
        <v>37500</v>
      </c>
      <c r="E10" s="8" t="s">
        <v>83</v>
      </c>
    </row>
    <row r="11" spans="1:5" x14ac:dyDescent="0.25">
      <c r="A11" s="4" t="s">
        <v>84</v>
      </c>
      <c r="B11" s="12">
        <v>8000</v>
      </c>
      <c r="C11" s="12">
        <v>20000</v>
      </c>
      <c r="D11" s="13">
        <f t="shared" si="0"/>
        <v>14000</v>
      </c>
      <c r="E11" s="8" t="s">
        <v>85</v>
      </c>
    </row>
    <row r="12" spans="1:5" x14ac:dyDescent="0.25">
      <c r="A12" s="4" t="s">
        <v>86</v>
      </c>
      <c r="B12" s="12">
        <v>8000</v>
      </c>
      <c r="C12" s="12">
        <v>15000</v>
      </c>
      <c r="D12" s="13">
        <f t="shared" si="0"/>
        <v>11500</v>
      </c>
      <c r="E12" s="8" t="s">
        <v>87</v>
      </c>
    </row>
    <row r="13" spans="1:5" x14ac:dyDescent="0.25">
      <c r="A13" s="4" t="s">
        <v>88</v>
      </c>
      <c r="B13" s="12">
        <v>25000</v>
      </c>
      <c r="C13" s="12">
        <v>25000</v>
      </c>
      <c r="D13" s="13">
        <f t="shared" si="0"/>
        <v>25000</v>
      </c>
      <c r="E13" s="8" t="s">
        <v>89</v>
      </c>
    </row>
    <row r="14" spans="1:5" x14ac:dyDescent="0.25">
      <c r="A14" s="4" t="s">
        <v>90</v>
      </c>
      <c r="B14" s="12">
        <v>15000</v>
      </c>
      <c r="C14" s="12">
        <v>15000</v>
      </c>
      <c r="D14" s="13">
        <f t="shared" si="0"/>
        <v>15000</v>
      </c>
      <c r="E14" s="8" t="s">
        <v>89</v>
      </c>
    </row>
    <row r="15" spans="1:5" x14ac:dyDescent="0.25">
      <c r="A15" s="4" t="s">
        <v>91</v>
      </c>
      <c r="B15" s="12">
        <v>15000</v>
      </c>
      <c r="C15" s="12">
        <v>30000</v>
      </c>
      <c r="D15" s="13">
        <f t="shared" si="0"/>
        <v>22500</v>
      </c>
      <c r="E15" s="8" t="s">
        <v>92</v>
      </c>
    </row>
    <row r="16" spans="1:5" x14ac:dyDescent="0.25">
      <c r="A16" s="4" t="s">
        <v>93</v>
      </c>
      <c r="B16" s="12">
        <v>17500</v>
      </c>
      <c r="C16" s="12">
        <v>17500</v>
      </c>
      <c r="D16" s="13">
        <f t="shared" si="0"/>
        <v>17500</v>
      </c>
      <c r="E16" s="8" t="s">
        <v>89</v>
      </c>
    </row>
    <row r="17" spans="1:5" x14ac:dyDescent="0.25">
      <c r="A17" s="4" t="s">
        <v>94</v>
      </c>
      <c r="B17" s="12">
        <v>4000</v>
      </c>
      <c r="C17" s="12">
        <v>4000</v>
      </c>
      <c r="D17" s="13">
        <f t="shared" si="0"/>
        <v>4000</v>
      </c>
      <c r="E17" s="8" t="s">
        <v>89</v>
      </c>
    </row>
    <row r="18" spans="1:5" x14ac:dyDescent="0.25">
      <c r="A18" s="4" t="s">
        <v>95</v>
      </c>
      <c r="B18" s="12">
        <v>10000</v>
      </c>
      <c r="C18" s="12">
        <v>25000</v>
      </c>
      <c r="D18" s="13">
        <f t="shared" si="0"/>
        <v>17500</v>
      </c>
      <c r="E18" s="8" t="s">
        <v>96</v>
      </c>
    </row>
    <row r="19" spans="1:5" x14ac:dyDescent="0.25">
      <c r="A19" s="4" t="s">
        <v>97</v>
      </c>
      <c r="B19" s="12">
        <v>25000</v>
      </c>
      <c r="C19" s="12">
        <v>50000</v>
      </c>
      <c r="D19" s="13">
        <f t="shared" si="0"/>
        <v>37500</v>
      </c>
      <c r="E19" s="8" t="s">
        <v>98</v>
      </c>
    </row>
    <row r="20" spans="1:5" x14ac:dyDescent="0.25">
      <c r="A20" s="4" t="s">
        <v>99</v>
      </c>
      <c r="B20" s="12">
        <v>5000</v>
      </c>
      <c r="C20" s="12">
        <v>10000</v>
      </c>
      <c r="D20" s="13">
        <f t="shared" si="0"/>
        <v>7500</v>
      </c>
      <c r="E20" s="8" t="s">
        <v>100</v>
      </c>
    </row>
    <row r="21" spans="1:5" ht="15.75" customHeight="1" x14ac:dyDescent="0.25">
      <c r="A21" s="4" t="s">
        <v>101</v>
      </c>
      <c r="B21" s="12">
        <v>5000</v>
      </c>
      <c r="C21" s="12">
        <v>10000</v>
      </c>
      <c r="D21" s="13">
        <f t="shared" si="0"/>
        <v>7500</v>
      </c>
      <c r="E21" s="8" t="s">
        <v>102</v>
      </c>
    </row>
    <row r="22" spans="1:5" ht="15.75" customHeight="1" x14ac:dyDescent="0.25">
      <c r="A22" s="4" t="s">
        <v>103</v>
      </c>
      <c r="B22" s="12">
        <v>100000</v>
      </c>
      <c r="C22" s="12">
        <v>200000</v>
      </c>
      <c r="D22" s="13">
        <f t="shared" si="0"/>
        <v>150000</v>
      </c>
      <c r="E22" s="8" t="s">
        <v>104</v>
      </c>
    </row>
    <row r="23" spans="1:5" ht="15.75" customHeight="1" x14ac:dyDescent="0.25">
      <c r="A23" s="1" t="s">
        <v>105</v>
      </c>
      <c r="B23" s="14">
        <f t="shared" ref="B23:C23" si="1">SUM(B7:B22)</f>
        <v>295500</v>
      </c>
      <c r="C23" s="14">
        <f t="shared" si="1"/>
        <v>536500</v>
      </c>
      <c r="D23" s="14">
        <f>SUM(D7:D22)</f>
        <v>416000</v>
      </c>
    </row>
    <row r="24" spans="1:5" ht="15.75" customHeight="1" x14ac:dyDescent="0.25"/>
    <row r="25" spans="1:5" ht="19.5" customHeight="1" x14ac:dyDescent="0.25">
      <c r="A25" s="79" t="s">
        <v>106</v>
      </c>
      <c r="B25" s="74"/>
      <c r="C25" s="74"/>
      <c r="D25" s="74"/>
      <c r="E25" s="75"/>
    </row>
    <row r="26" spans="1:5" ht="15.75" customHeight="1" x14ac:dyDescent="0.25">
      <c r="A26" s="5" t="s">
        <v>107</v>
      </c>
      <c r="B26" s="5" t="s">
        <v>108</v>
      </c>
      <c r="C26" s="5" t="s">
        <v>109</v>
      </c>
      <c r="D26" s="5" t="s">
        <v>75</v>
      </c>
      <c r="E26" s="5"/>
    </row>
    <row r="27" spans="1:5" ht="15.75" customHeight="1" x14ac:dyDescent="0.25">
      <c r="A27" s="4" t="s">
        <v>110</v>
      </c>
      <c r="B27" s="12">
        <v>100000</v>
      </c>
      <c r="C27" s="15">
        <f t="shared" ref="C27:C31" si="2">B27/$B$32</f>
        <v>0.17241379310344829</v>
      </c>
      <c r="D27" s="2" t="s">
        <v>111</v>
      </c>
    </row>
    <row r="28" spans="1:5" ht="15.75" customHeight="1" x14ac:dyDescent="0.25">
      <c r="A28" s="4" t="s">
        <v>112</v>
      </c>
      <c r="B28" s="12">
        <v>150000</v>
      </c>
      <c r="C28" s="15">
        <f t="shared" si="2"/>
        <v>0.25862068965517243</v>
      </c>
      <c r="D28" s="2" t="s">
        <v>113</v>
      </c>
    </row>
    <row r="29" spans="1:5" ht="15.75" customHeight="1" x14ac:dyDescent="0.25">
      <c r="A29" s="4" t="s">
        <v>114</v>
      </c>
      <c r="B29" s="12">
        <v>250000</v>
      </c>
      <c r="C29" s="15">
        <f t="shared" si="2"/>
        <v>0.43103448275862066</v>
      </c>
      <c r="D29" s="2" t="s">
        <v>115</v>
      </c>
    </row>
    <row r="30" spans="1:5" ht="15.75" customHeight="1" x14ac:dyDescent="0.25">
      <c r="A30" s="4" t="s">
        <v>116</v>
      </c>
      <c r="B30" s="12">
        <v>80000</v>
      </c>
      <c r="C30" s="15">
        <f t="shared" si="2"/>
        <v>0.13793103448275862</v>
      </c>
      <c r="D30" s="2" t="s">
        <v>117</v>
      </c>
    </row>
    <row r="31" spans="1:5" ht="15.75" customHeight="1" x14ac:dyDescent="0.25">
      <c r="A31" s="4" t="s">
        <v>118</v>
      </c>
      <c r="B31" s="12">
        <v>0</v>
      </c>
      <c r="C31" s="15">
        <f t="shared" si="2"/>
        <v>0</v>
      </c>
      <c r="D31" s="2" t="s">
        <v>119</v>
      </c>
    </row>
    <row r="32" spans="1:5" ht="15.75" customHeight="1" x14ac:dyDescent="0.25">
      <c r="A32" s="3" t="s">
        <v>120</v>
      </c>
      <c r="B32" s="16">
        <f>SUM(B27:B31)</f>
        <v>580000</v>
      </c>
    </row>
    <row r="33" spans="1:2" ht="15.75" customHeight="1" x14ac:dyDescent="0.25"/>
    <row r="34" spans="1:2" ht="15.75" customHeight="1" x14ac:dyDescent="0.25">
      <c r="A34" s="3" t="s">
        <v>121</v>
      </c>
      <c r="B34" s="17">
        <f>D23-B32</f>
        <v>-164000</v>
      </c>
    </row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E1"/>
    <mergeCell ref="A5:E5"/>
    <mergeCell ref="A25:E25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workbookViewId="0">
      <selection activeCell="A6" sqref="A6:D17"/>
    </sheetView>
  </sheetViews>
  <sheetFormatPr defaultColWidth="14.42578125" defaultRowHeight="15" customHeight="1" x14ac:dyDescent="0.25"/>
  <cols>
    <col min="1" max="1" width="40" customWidth="1"/>
    <col min="2" max="4" width="14" customWidth="1"/>
    <col min="5" max="5" width="16" customWidth="1"/>
    <col min="6" max="6" width="38" customWidth="1"/>
    <col min="7" max="26" width="8.7109375" customWidth="1"/>
  </cols>
  <sheetData>
    <row r="1" spans="1:6" ht="25.5" customHeight="1" x14ac:dyDescent="0.25">
      <c r="A1" s="73" t="s">
        <v>122</v>
      </c>
      <c r="B1" s="74"/>
      <c r="C1" s="74"/>
      <c r="D1" s="74"/>
      <c r="E1" s="74"/>
      <c r="F1" s="75"/>
    </row>
    <row r="3" spans="1:6" x14ac:dyDescent="0.25">
      <c r="A3" s="2" t="s">
        <v>123</v>
      </c>
    </row>
    <row r="5" spans="1:6" ht="19.5" customHeight="1" x14ac:dyDescent="0.25">
      <c r="A5" s="79" t="s">
        <v>124</v>
      </c>
      <c r="B5" s="74"/>
      <c r="C5" s="74"/>
      <c r="D5" s="74"/>
      <c r="E5" s="74"/>
      <c r="F5" s="75"/>
    </row>
    <row r="6" spans="1:6" ht="25.5" x14ac:dyDescent="0.25">
      <c r="A6" s="5" t="s">
        <v>125</v>
      </c>
      <c r="B6" s="5" t="s">
        <v>126</v>
      </c>
      <c r="C6" s="5" t="s">
        <v>127</v>
      </c>
      <c r="D6" s="5" t="s">
        <v>128</v>
      </c>
      <c r="E6" s="5" t="s">
        <v>129</v>
      </c>
      <c r="F6" s="5" t="s">
        <v>75</v>
      </c>
    </row>
    <row r="7" spans="1:6" x14ac:dyDescent="0.25">
      <c r="A7" s="4" t="s">
        <v>130</v>
      </c>
      <c r="B7" s="18">
        <v>4</v>
      </c>
      <c r="C7" s="12">
        <v>500</v>
      </c>
      <c r="D7" s="13">
        <f t="shared" ref="D7:D17" si="0">B7*C7</f>
        <v>2000</v>
      </c>
      <c r="E7" s="19">
        <f>D7*'1. Cover &amp; Assumptions'!$B$18</f>
        <v>6000</v>
      </c>
      <c r="F7" s="2" t="s">
        <v>131</v>
      </c>
    </row>
    <row r="8" spans="1:6" x14ac:dyDescent="0.25">
      <c r="A8" s="4" t="s">
        <v>132</v>
      </c>
      <c r="B8" s="18">
        <v>2</v>
      </c>
      <c r="C8" s="12">
        <v>200</v>
      </c>
      <c r="D8" s="13">
        <f t="shared" si="0"/>
        <v>400</v>
      </c>
      <c r="E8" s="19">
        <f>D8*'1. Cover &amp; Assumptions'!$B$18</f>
        <v>1200</v>
      </c>
      <c r="F8" s="2" t="s">
        <v>133</v>
      </c>
    </row>
    <row r="9" spans="1:6" x14ac:dyDescent="0.25">
      <c r="A9" s="4" t="s">
        <v>134</v>
      </c>
      <c r="B9" s="18">
        <v>1</v>
      </c>
      <c r="C9" s="12">
        <v>1000</v>
      </c>
      <c r="D9" s="13">
        <f t="shared" si="0"/>
        <v>1000</v>
      </c>
      <c r="E9" s="19">
        <f>D9*'1. Cover &amp; Assumptions'!$B$18</f>
        <v>3000</v>
      </c>
      <c r="F9" s="2" t="s">
        <v>135</v>
      </c>
    </row>
    <row r="10" spans="1:6" x14ac:dyDescent="0.25">
      <c r="A10" s="4" t="s">
        <v>59</v>
      </c>
      <c r="B10" s="18">
        <v>6</v>
      </c>
      <c r="C10" s="12">
        <v>25</v>
      </c>
      <c r="D10" s="13">
        <f t="shared" si="0"/>
        <v>150</v>
      </c>
      <c r="E10" s="19">
        <f>D10*'1. Cover &amp; Assumptions'!$B$18</f>
        <v>450</v>
      </c>
      <c r="F10" s="2" t="s">
        <v>136</v>
      </c>
    </row>
    <row r="11" spans="1:6" x14ac:dyDescent="0.25">
      <c r="A11" s="4" t="s">
        <v>137</v>
      </c>
      <c r="B11" s="18">
        <v>12</v>
      </c>
      <c r="C11" s="12">
        <v>25</v>
      </c>
      <c r="D11" s="13">
        <f>B11*C11</f>
        <v>300</v>
      </c>
      <c r="E11" s="19">
        <f>D11*'1. Cover &amp; Assumptions'!$B$18</f>
        <v>900</v>
      </c>
      <c r="F11" s="2" t="s">
        <v>138</v>
      </c>
    </row>
    <row r="12" spans="1:6" x14ac:dyDescent="0.25">
      <c r="A12" s="4" t="s">
        <v>139</v>
      </c>
      <c r="B12" s="18">
        <v>48</v>
      </c>
      <c r="C12" s="12">
        <v>30</v>
      </c>
      <c r="D12" s="13">
        <f t="shared" si="0"/>
        <v>1440</v>
      </c>
      <c r="E12" s="19">
        <f>D12*'1. Cover &amp; Assumptions'!$B$18</f>
        <v>4320</v>
      </c>
      <c r="F12" s="2" t="s">
        <v>140</v>
      </c>
    </row>
    <row r="13" spans="1:6" x14ac:dyDescent="0.25">
      <c r="A13" s="4" t="s">
        <v>141</v>
      </c>
      <c r="B13" s="18">
        <v>1</v>
      </c>
      <c r="C13" s="12">
        <v>250</v>
      </c>
      <c r="D13" s="13">
        <f t="shared" si="0"/>
        <v>250</v>
      </c>
      <c r="E13" s="19">
        <f>D13*'1. Cover &amp; Assumptions'!$B$18</f>
        <v>750</v>
      </c>
      <c r="F13" s="2" t="s">
        <v>142</v>
      </c>
    </row>
    <row r="14" spans="1:6" x14ac:dyDescent="0.25">
      <c r="A14" s="4" t="s">
        <v>143</v>
      </c>
      <c r="B14" s="18">
        <v>1</v>
      </c>
      <c r="C14" s="12">
        <v>350</v>
      </c>
      <c r="D14" s="13">
        <f t="shared" si="0"/>
        <v>350</v>
      </c>
      <c r="E14" s="19">
        <f>D14*'1. Cover &amp; Assumptions'!$B$18</f>
        <v>1050</v>
      </c>
      <c r="F14" s="2" t="s">
        <v>144</v>
      </c>
    </row>
    <row r="15" spans="1:6" x14ac:dyDescent="0.25">
      <c r="A15" s="4" t="s">
        <v>145</v>
      </c>
      <c r="B15" s="18">
        <v>6</v>
      </c>
      <c r="C15" s="12">
        <v>60</v>
      </c>
      <c r="D15" s="13">
        <f t="shared" si="0"/>
        <v>360</v>
      </c>
      <c r="E15" s="19">
        <f>D15*'1. Cover &amp; Assumptions'!$B$18</f>
        <v>1080</v>
      </c>
      <c r="F15" s="2" t="s">
        <v>146</v>
      </c>
    </row>
    <row r="16" spans="1:6" x14ac:dyDescent="0.25">
      <c r="A16" s="4" t="s">
        <v>147</v>
      </c>
      <c r="B16" s="18">
        <v>6</v>
      </c>
      <c r="C16" s="12">
        <v>35</v>
      </c>
      <c r="D16" s="13">
        <f t="shared" si="0"/>
        <v>210</v>
      </c>
      <c r="E16" s="19">
        <f>D16*'1. Cover &amp; Assumptions'!$B$18</f>
        <v>630</v>
      </c>
      <c r="F16" s="2" t="s">
        <v>148</v>
      </c>
    </row>
    <row r="17" spans="1:6" x14ac:dyDescent="0.25">
      <c r="A17" s="4" t="s">
        <v>149</v>
      </c>
      <c r="B17" s="18">
        <v>4</v>
      </c>
      <c r="C17" s="12">
        <v>150</v>
      </c>
      <c r="D17" s="13">
        <f t="shared" si="0"/>
        <v>600</v>
      </c>
      <c r="E17" s="19">
        <f>D17*'1. Cover &amp; Assumptions'!$B$18</f>
        <v>1800</v>
      </c>
      <c r="F17" s="2" t="s">
        <v>150</v>
      </c>
    </row>
    <row r="18" spans="1:6" x14ac:dyDescent="0.25">
      <c r="A18" s="3" t="s">
        <v>151</v>
      </c>
      <c r="D18" s="16">
        <f t="shared" ref="D18" si="1">SUM(D7:D17)</f>
        <v>7060</v>
      </c>
      <c r="E18" s="16">
        <f>SUM(E7:E17)</f>
        <v>21180</v>
      </c>
    </row>
    <row r="20" spans="1:6" ht="19.5" customHeight="1" x14ac:dyDescent="0.25">
      <c r="A20" s="79" t="s">
        <v>152</v>
      </c>
      <c r="B20" s="74"/>
      <c r="C20" s="74"/>
      <c r="D20" s="74"/>
      <c r="E20" s="74"/>
      <c r="F20" s="75"/>
    </row>
    <row r="21" spans="1:6" ht="15.75" customHeight="1" x14ac:dyDescent="0.25">
      <c r="A21" s="5" t="s">
        <v>153</v>
      </c>
      <c r="B21" s="5" t="s">
        <v>154</v>
      </c>
      <c r="C21" s="5" t="s">
        <v>107</v>
      </c>
      <c r="D21" s="5"/>
      <c r="E21" s="5"/>
      <c r="F21" s="5"/>
    </row>
    <row r="22" spans="1:6" ht="15.75" customHeight="1" x14ac:dyDescent="0.25">
      <c r="A22" s="4" t="s">
        <v>155</v>
      </c>
      <c r="B22" s="18">
        <v>1</v>
      </c>
      <c r="C22" s="2" t="s">
        <v>156</v>
      </c>
    </row>
    <row r="23" spans="1:6" ht="15.75" customHeight="1" x14ac:dyDescent="0.25">
      <c r="A23" s="4" t="s">
        <v>157</v>
      </c>
      <c r="B23" s="18">
        <v>2</v>
      </c>
      <c r="C23" s="2" t="s">
        <v>156</v>
      </c>
    </row>
    <row r="24" spans="1:6" ht="15.75" customHeight="1" x14ac:dyDescent="0.25">
      <c r="A24" s="4" t="s">
        <v>158</v>
      </c>
      <c r="B24" s="18">
        <v>8</v>
      </c>
      <c r="C24" s="2" t="s">
        <v>159</v>
      </c>
    </row>
    <row r="25" spans="1:6" ht="15.75" customHeight="1" x14ac:dyDescent="0.25">
      <c r="A25" s="4" t="s">
        <v>160</v>
      </c>
      <c r="B25" s="18">
        <v>2</v>
      </c>
      <c r="C25" s="2" t="s">
        <v>161</v>
      </c>
    </row>
    <row r="26" spans="1:6" ht="15.75" customHeight="1" x14ac:dyDescent="0.25">
      <c r="A26" s="4" t="s">
        <v>147</v>
      </c>
      <c r="B26" s="18">
        <v>1</v>
      </c>
      <c r="C26" s="2" t="s">
        <v>156</v>
      </c>
    </row>
    <row r="27" spans="1:6" ht="15.75" customHeight="1" x14ac:dyDescent="0.25">
      <c r="A27" s="4" t="s">
        <v>149</v>
      </c>
      <c r="B27" s="18">
        <v>1</v>
      </c>
      <c r="C27" s="2" t="s">
        <v>162</v>
      </c>
    </row>
    <row r="28" spans="1:6" ht="15.75" customHeight="1" x14ac:dyDescent="0.25">
      <c r="A28" s="4" t="s">
        <v>163</v>
      </c>
      <c r="B28" s="18">
        <v>6</v>
      </c>
      <c r="C28" s="2" t="s">
        <v>164</v>
      </c>
    </row>
    <row r="29" spans="1:6" ht="15.75" customHeight="1" x14ac:dyDescent="0.25">
      <c r="A29" s="4" t="s">
        <v>165</v>
      </c>
      <c r="B29" s="18">
        <v>12</v>
      </c>
      <c r="C29" s="2" t="s">
        <v>166</v>
      </c>
    </row>
    <row r="30" spans="1:6" ht="15.75" customHeight="1" x14ac:dyDescent="0.25">
      <c r="A30" s="4" t="s">
        <v>167</v>
      </c>
      <c r="B30" s="18">
        <v>1</v>
      </c>
      <c r="C30" s="2" t="s">
        <v>89</v>
      </c>
    </row>
    <row r="31" spans="1:6" ht="15.75" customHeight="1" x14ac:dyDescent="0.25">
      <c r="A31" s="4" t="s">
        <v>168</v>
      </c>
      <c r="B31" s="18">
        <v>2</v>
      </c>
      <c r="C31" s="2" t="s">
        <v>89</v>
      </c>
    </row>
    <row r="32" spans="1:6" ht="15.75" customHeight="1" x14ac:dyDescent="0.25">
      <c r="A32" s="4" t="s">
        <v>169</v>
      </c>
      <c r="B32" s="18">
        <v>6</v>
      </c>
      <c r="C32" s="2" t="s">
        <v>89</v>
      </c>
    </row>
    <row r="33" spans="1:3" ht="15.75" customHeight="1" x14ac:dyDescent="0.25">
      <c r="A33" s="4" t="s">
        <v>170</v>
      </c>
      <c r="B33" s="18">
        <v>7</v>
      </c>
      <c r="C33" s="2" t="s">
        <v>89</v>
      </c>
    </row>
    <row r="34" spans="1:3" ht="15.75" customHeight="1" x14ac:dyDescent="0.25">
      <c r="A34" s="4" t="s">
        <v>171</v>
      </c>
      <c r="B34" s="18">
        <v>3</v>
      </c>
      <c r="C34" s="2" t="s">
        <v>172</v>
      </c>
    </row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F1"/>
    <mergeCell ref="A5:F5"/>
    <mergeCell ref="A20:F20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topLeftCell="A52" workbookViewId="0">
      <selection activeCell="D82" sqref="A54:D82"/>
    </sheetView>
  </sheetViews>
  <sheetFormatPr defaultColWidth="14.42578125" defaultRowHeight="15" customHeight="1" x14ac:dyDescent="0.25"/>
  <cols>
    <col min="1" max="1" width="44" customWidth="1"/>
    <col min="2" max="4" width="12" customWidth="1"/>
    <col min="5" max="5" width="14" customWidth="1"/>
    <col min="6" max="6" width="38" customWidth="1"/>
    <col min="7" max="26" width="8.7109375" customWidth="1"/>
  </cols>
  <sheetData>
    <row r="1" spans="1:6" ht="25.5" customHeight="1" x14ac:dyDescent="0.25">
      <c r="A1" s="73" t="s">
        <v>173</v>
      </c>
      <c r="B1" s="74"/>
      <c r="C1" s="74"/>
      <c r="D1" s="74"/>
      <c r="E1" s="74"/>
      <c r="F1" s="75"/>
    </row>
    <row r="3" spans="1:6" x14ac:dyDescent="0.25">
      <c r="A3" s="2" t="s">
        <v>174</v>
      </c>
    </row>
    <row r="5" spans="1:6" ht="19.5" customHeight="1" x14ac:dyDescent="0.25">
      <c r="A5" s="76" t="s">
        <v>175</v>
      </c>
      <c r="B5" s="74"/>
      <c r="C5" s="74"/>
      <c r="D5" s="74"/>
      <c r="E5" s="74"/>
      <c r="F5" s="75"/>
    </row>
    <row r="6" spans="1:6" x14ac:dyDescent="0.25">
      <c r="A6" s="5" t="s">
        <v>125</v>
      </c>
      <c r="B6" s="5" t="s">
        <v>176</v>
      </c>
      <c r="C6" s="5" t="s">
        <v>177</v>
      </c>
      <c r="D6" s="5" t="s">
        <v>178</v>
      </c>
      <c r="E6" s="5" t="s">
        <v>179</v>
      </c>
      <c r="F6" s="5" t="s">
        <v>75</v>
      </c>
    </row>
    <row r="7" spans="1:6" x14ac:dyDescent="0.25">
      <c r="A7" s="4" t="s">
        <v>180</v>
      </c>
      <c r="B7" s="18">
        <v>200</v>
      </c>
      <c r="C7" s="12">
        <v>35</v>
      </c>
      <c r="D7" s="18">
        <v>3</v>
      </c>
      <c r="E7" s="13">
        <f>B7*C7*D7</f>
        <v>21000</v>
      </c>
      <c r="F7" s="2" t="s">
        <v>89</v>
      </c>
    </row>
    <row r="8" spans="1:6" x14ac:dyDescent="0.25">
      <c r="A8" s="4" t="s">
        <v>181</v>
      </c>
      <c r="B8" s="18">
        <v>400</v>
      </c>
      <c r="C8" s="12">
        <v>25</v>
      </c>
      <c r="D8" s="18">
        <v>3</v>
      </c>
      <c r="E8" s="13">
        <f>B8*C8*D8</f>
        <v>30000</v>
      </c>
      <c r="F8" s="2" t="s">
        <v>89</v>
      </c>
    </row>
    <row r="9" spans="1:6" x14ac:dyDescent="0.25">
      <c r="A9" s="4" t="s">
        <v>182</v>
      </c>
      <c r="B9" s="18">
        <v>1000</v>
      </c>
      <c r="C9" s="12">
        <v>15</v>
      </c>
      <c r="D9" s="18">
        <v>3</v>
      </c>
      <c r="E9" s="13">
        <f>B9*C9*D9</f>
        <v>45000</v>
      </c>
      <c r="F9" s="2" t="s">
        <v>89</v>
      </c>
    </row>
    <row r="10" spans="1:6" x14ac:dyDescent="0.25">
      <c r="A10" s="4" t="s">
        <v>183</v>
      </c>
      <c r="B10" s="18">
        <v>275</v>
      </c>
      <c r="C10" s="12">
        <v>10</v>
      </c>
      <c r="D10" s="18">
        <v>3</v>
      </c>
      <c r="E10" s="13">
        <f>B10*C10*D10</f>
        <v>8250</v>
      </c>
      <c r="F10" s="2" t="s">
        <v>89</v>
      </c>
    </row>
    <row r="11" spans="1:6" x14ac:dyDescent="0.25">
      <c r="A11" s="4" t="s">
        <v>184</v>
      </c>
      <c r="B11" s="18">
        <f>SUM(B7:B10)*0.5</f>
        <v>937.5</v>
      </c>
      <c r="C11" s="12">
        <v>10</v>
      </c>
      <c r="D11" s="18">
        <v>3</v>
      </c>
      <c r="E11" s="13">
        <f>B11*C11*D11</f>
        <v>28125</v>
      </c>
      <c r="F11" s="2" t="s">
        <v>89</v>
      </c>
    </row>
    <row r="12" spans="1:6" x14ac:dyDescent="0.25">
      <c r="A12" s="4" t="s">
        <v>185</v>
      </c>
      <c r="B12" s="18">
        <f>SUM(B7:B10)*0.1</f>
        <v>187.5</v>
      </c>
      <c r="C12" s="12">
        <v>25</v>
      </c>
      <c r="D12" s="18">
        <v>3</v>
      </c>
      <c r="E12" s="13">
        <f t="shared" ref="E12:E17" si="0">B12*C12*D12</f>
        <v>14062.5</v>
      </c>
      <c r="F12" s="2" t="s">
        <v>89</v>
      </c>
    </row>
    <row r="13" spans="1:6" x14ac:dyDescent="0.25">
      <c r="A13" s="4" t="s">
        <v>186</v>
      </c>
      <c r="B13" s="18">
        <v>1</v>
      </c>
      <c r="C13" s="12">
        <v>131600</v>
      </c>
      <c r="D13" s="18">
        <v>1</v>
      </c>
      <c r="E13" s="13">
        <f t="shared" si="0"/>
        <v>131600</v>
      </c>
      <c r="F13" s="2" t="s">
        <v>89</v>
      </c>
    </row>
    <row r="14" spans="1:6" x14ac:dyDescent="0.25">
      <c r="A14" s="4" t="s">
        <v>187</v>
      </c>
      <c r="B14" s="18">
        <v>10</v>
      </c>
      <c r="C14" s="12">
        <v>250</v>
      </c>
      <c r="D14" s="18">
        <v>3</v>
      </c>
      <c r="E14" s="13">
        <f t="shared" si="0"/>
        <v>7500</v>
      </c>
      <c r="F14" s="2" t="s">
        <v>89</v>
      </c>
    </row>
    <row r="15" spans="1:6" x14ac:dyDescent="0.25">
      <c r="A15" s="4" t="s">
        <v>188</v>
      </c>
      <c r="B15" s="18">
        <f>SUM(B7:B10)*0.2</f>
        <v>375</v>
      </c>
      <c r="C15" s="12">
        <v>20</v>
      </c>
      <c r="D15" s="18">
        <v>3</v>
      </c>
      <c r="E15" s="13">
        <f t="shared" si="0"/>
        <v>22500</v>
      </c>
      <c r="F15" s="2" t="s">
        <v>89</v>
      </c>
    </row>
    <row r="16" spans="1:6" x14ac:dyDescent="0.25">
      <c r="A16" s="4" t="s">
        <v>189</v>
      </c>
      <c r="B16" s="18">
        <v>1</v>
      </c>
      <c r="C16" s="12">
        <v>2000</v>
      </c>
      <c r="D16" s="18">
        <v>3</v>
      </c>
      <c r="E16" s="13">
        <f t="shared" si="0"/>
        <v>6000</v>
      </c>
      <c r="F16" s="2" t="s">
        <v>89</v>
      </c>
    </row>
    <row r="17" spans="1:6" x14ac:dyDescent="0.25">
      <c r="A17" s="4" t="s">
        <v>190</v>
      </c>
      <c r="B17" s="18">
        <v>100</v>
      </c>
      <c r="C17" s="12">
        <v>1000</v>
      </c>
      <c r="D17" s="18">
        <v>1</v>
      </c>
      <c r="E17" s="13">
        <f t="shared" si="0"/>
        <v>100000</v>
      </c>
      <c r="F17" s="2" t="s">
        <v>191</v>
      </c>
    </row>
    <row r="18" spans="1:6" x14ac:dyDescent="0.25">
      <c r="A18" s="20" t="s">
        <v>192</v>
      </c>
      <c r="E18" s="21">
        <f>SUM(E7:E17)</f>
        <v>414037.5</v>
      </c>
    </row>
    <row r="20" spans="1:6" ht="19.5" customHeight="1" x14ac:dyDescent="0.25">
      <c r="A20" s="77" t="s">
        <v>193</v>
      </c>
      <c r="B20" s="74"/>
      <c r="C20" s="74"/>
      <c r="D20" s="74"/>
      <c r="E20" s="74"/>
      <c r="F20" s="75"/>
    </row>
    <row r="21" spans="1:6" ht="15.75" customHeight="1" x14ac:dyDescent="0.25">
      <c r="A21" s="5" t="s">
        <v>125</v>
      </c>
      <c r="B21" s="5" t="s">
        <v>194</v>
      </c>
      <c r="C21" s="5" t="s">
        <v>195</v>
      </c>
      <c r="D21" s="5" t="s">
        <v>196</v>
      </c>
      <c r="E21" s="5" t="s">
        <v>179</v>
      </c>
      <c r="F21" s="5" t="s">
        <v>75</v>
      </c>
    </row>
    <row r="22" spans="1:6" ht="15.75" customHeight="1" x14ac:dyDescent="0.25">
      <c r="A22" s="4" t="s">
        <v>197</v>
      </c>
      <c r="B22" s="18">
        <v>1</v>
      </c>
      <c r="C22" s="12">
        <v>24000</v>
      </c>
      <c r="D22" s="18">
        <v>1</v>
      </c>
      <c r="E22" s="13">
        <f t="shared" ref="E22:E29" si="1">B22*C22*D22</f>
        <v>24000</v>
      </c>
      <c r="F22" s="2" t="s">
        <v>89</v>
      </c>
    </row>
    <row r="23" spans="1:6" ht="15.75" customHeight="1" x14ac:dyDescent="0.25">
      <c r="A23" s="4" t="s">
        <v>198</v>
      </c>
      <c r="B23" s="18">
        <v>2</v>
      </c>
      <c r="C23" s="12">
        <v>175</v>
      </c>
      <c r="D23" s="18">
        <v>50</v>
      </c>
      <c r="E23" s="13">
        <f t="shared" si="1"/>
        <v>17500</v>
      </c>
      <c r="F23" s="2" t="s">
        <v>89</v>
      </c>
    </row>
    <row r="24" spans="1:6" ht="15.75" customHeight="1" x14ac:dyDescent="0.25">
      <c r="A24" s="4" t="s">
        <v>199</v>
      </c>
      <c r="B24" s="18">
        <v>1</v>
      </c>
      <c r="C24" s="12">
        <v>80</v>
      </c>
      <c r="D24" s="18">
        <v>50</v>
      </c>
      <c r="E24" s="13">
        <f t="shared" si="1"/>
        <v>4000</v>
      </c>
      <c r="F24" s="2" t="s">
        <v>89</v>
      </c>
    </row>
    <row r="25" spans="1:6" ht="15.75" customHeight="1" x14ac:dyDescent="0.25">
      <c r="A25" s="4" t="s">
        <v>200</v>
      </c>
      <c r="B25" s="18">
        <v>1</v>
      </c>
      <c r="C25" s="12">
        <v>500</v>
      </c>
      <c r="D25" s="18">
        <v>50</v>
      </c>
      <c r="E25" s="13">
        <f t="shared" si="1"/>
        <v>25000</v>
      </c>
      <c r="F25" s="2" t="s">
        <v>89</v>
      </c>
    </row>
    <row r="26" spans="1:6" ht="15.75" customHeight="1" x14ac:dyDescent="0.25">
      <c r="A26" s="4" t="s">
        <v>201</v>
      </c>
      <c r="B26" s="18">
        <v>1</v>
      </c>
      <c r="C26" s="12">
        <v>300</v>
      </c>
      <c r="D26" s="18">
        <v>50</v>
      </c>
      <c r="E26" s="13">
        <f t="shared" si="1"/>
        <v>15000</v>
      </c>
      <c r="F26" s="2" t="s">
        <v>89</v>
      </c>
    </row>
    <row r="27" spans="1:6" ht="15.75" customHeight="1" x14ac:dyDescent="0.25">
      <c r="A27" s="4" t="s">
        <v>202</v>
      </c>
      <c r="B27" s="18">
        <v>1</v>
      </c>
      <c r="C27" s="12">
        <v>70</v>
      </c>
      <c r="D27" s="18">
        <v>50</v>
      </c>
      <c r="E27" s="13">
        <f t="shared" si="1"/>
        <v>3500</v>
      </c>
      <c r="F27" s="2" t="s">
        <v>89</v>
      </c>
    </row>
    <row r="28" spans="1:6" ht="15.75" customHeight="1" x14ac:dyDescent="0.25">
      <c r="A28" s="4" t="s">
        <v>203</v>
      </c>
      <c r="B28" s="18">
        <v>1</v>
      </c>
      <c r="C28" s="12">
        <v>175</v>
      </c>
      <c r="D28" s="18">
        <v>16</v>
      </c>
      <c r="E28" s="13">
        <f t="shared" si="1"/>
        <v>2800</v>
      </c>
      <c r="F28" s="2" t="s">
        <v>89</v>
      </c>
    </row>
    <row r="29" spans="1:6" ht="15.75" customHeight="1" x14ac:dyDescent="0.25">
      <c r="A29" s="4" t="s">
        <v>204</v>
      </c>
      <c r="B29" s="18">
        <v>8</v>
      </c>
      <c r="C29" s="12">
        <v>500</v>
      </c>
      <c r="D29" s="18">
        <v>2</v>
      </c>
      <c r="E29" s="13">
        <f t="shared" si="1"/>
        <v>8000</v>
      </c>
      <c r="F29" s="2" t="s">
        <v>89</v>
      </c>
    </row>
    <row r="30" spans="1:6" ht="15.75" customHeight="1" x14ac:dyDescent="0.25">
      <c r="A30" s="3" t="s">
        <v>205</v>
      </c>
      <c r="E30" s="22">
        <f>SUM(E22:E29)</f>
        <v>99800</v>
      </c>
    </row>
    <row r="31" spans="1:6" ht="15.75" customHeight="1" x14ac:dyDescent="0.25"/>
    <row r="32" spans="1:6" ht="19.5" customHeight="1" x14ac:dyDescent="0.25">
      <c r="A32" s="77" t="s">
        <v>206</v>
      </c>
      <c r="B32" s="74"/>
      <c r="C32" s="74"/>
      <c r="D32" s="74"/>
      <c r="E32" s="74"/>
      <c r="F32" s="75"/>
    </row>
    <row r="33" spans="1:6" ht="15.75" customHeight="1" x14ac:dyDescent="0.25">
      <c r="A33" s="5" t="s">
        <v>125</v>
      </c>
      <c r="B33" s="5" t="s">
        <v>207</v>
      </c>
      <c r="C33" s="5" t="s">
        <v>208</v>
      </c>
      <c r="D33" s="5" t="s">
        <v>209</v>
      </c>
      <c r="E33" s="5" t="s">
        <v>179</v>
      </c>
      <c r="F33" s="5" t="s">
        <v>75</v>
      </c>
    </row>
    <row r="34" spans="1:6" ht="15.75" customHeight="1" x14ac:dyDescent="0.25">
      <c r="A34" s="4" t="s">
        <v>210</v>
      </c>
      <c r="E34" s="19">
        <f>'3. Rose Stadium Detail'!$E$18</f>
        <v>21180</v>
      </c>
      <c r="F34" s="2" t="s">
        <v>211</v>
      </c>
    </row>
    <row r="35" spans="1:6" ht="15.75" customHeight="1" x14ac:dyDescent="0.25">
      <c r="A35" s="4" t="s">
        <v>212</v>
      </c>
      <c r="B35" s="18">
        <v>21</v>
      </c>
      <c r="C35" s="12">
        <v>100</v>
      </c>
      <c r="D35" s="18">
        <v>1</v>
      </c>
      <c r="E35" s="13">
        <f>B35*C35*D35</f>
        <v>2100</v>
      </c>
      <c r="F35" s="2" t="s">
        <v>89</v>
      </c>
    </row>
    <row r="36" spans="1:6" ht="15.75" customHeight="1" x14ac:dyDescent="0.25">
      <c r="A36" s="4" t="s">
        <v>213</v>
      </c>
      <c r="B36" s="18">
        <v>6</v>
      </c>
      <c r="C36" s="12">
        <v>1000</v>
      </c>
      <c r="D36" s="18">
        <v>7</v>
      </c>
      <c r="E36" s="13">
        <f>B36*C36*D36</f>
        <v>42000</v>
      </c>
      <c r="F36" s="2" t="s">
        <v>89</v>
      </c>
    </row>
    <row r="37" spans="1:6" ht="15.75" customHeight="1" x14ac:dyDescent="0.25">
      <c r="A37" s="4" t="s">
        <v>214</v>
      </c>
      <c r="B37" s="18">
        <v>1</v>
      </c>
      <c r="C37" s="12">
        <v>60000</v>
      </c>
      <c r="D37" s="18">
        <v>1</v>
      </c>
      <c r="E37" s="13">
        <f t="shared" ref="E37:E43" si="2">B37*C37*D37</f>
        <v>60000</v>
      </c>
      <c r="F37" s="2" t="s">
        <v>89</v>
      </c>
    </row>
    <row r="38" spans="1:6" ht="15.75" customHeight="1" x14ac:dyDescent="0.25">
      <c r="A38" s="4" t="s">
        <v>167</v>
      </c>
      <c r="B38" s="18">
        <v>6</v>
      </c>
      <c r="C38" s="12">
        <v>500</v>
      </c>
      <c r="D38" s="18">
        <v>1</v>
      </c>
      <c r="E38" s="13">
        <f t="shared" si="2"/>
        <v>3000</v>
      </c>
      <c r="F38" s="2" t="s">
        <v>89</v>
      </c>
    </row>
    <row r="39" spans="1:6" ht="15.75" customHeight="1" x14ac:dyDescent="0.25">
      <c r="A39" s="4" t="s">
        <v>215</v>
      </c>
      <c r="B39" s="18">
        <v>3</v>
      </c>
      <c r="C39" s="12">
        <v>125</v>
      </c>
      <c r="D39" s="18">
        <v>6</v>
      </c>
      <c r="E39" s="13">
        <f t="shared" si="2"/>
        <v>2250</v>
      </c>
      <c r="F39" s="2" t="s">
        <v>89</v>
      </c>
    </row>
    <row r="40" spans="1:6" ht="15.75" customHeight="1" x14ac:dyDescent="0.25">
      <c r="A40" s="4" t="s">
        <v>216</v>
      </c>
      <c r="B40" s="18">
        <v>43</v>
      </c>
      <c r="C40" s="12">
        <v>54</v>
      </c>
      <c r="D40" s="18">
        <v>20</v>
      </c>
      <c r="E40" s="13">
        <f t="shared" si="2"/>
        <v>46440</v>
      </c>
      <c r="F40" s="2" t="s">
        <v>89</v>
      </c>
    </row>
    <row r="41" spans="1:6" ht="15.75" customHeight="1" x14ac:dyDescent="0.25">
      <c r="A41" s="4" t="s">
        <v>217</v>
      </c>
      <c r="B41" s="18">
        <v>6</v>
      </c>
      <c r="C41" s="12">
        <v>400</v>
      </c>
      <c r="D41" s="18">
        <v>38</v>
      </c>
      <c r="E41" s="13">
        <f t="shared" si="2"/>
        <v>91200</v>
      </c>
      <c r="F41" s="2" t="s">
        <v>89</v>
      </c>
    </row>
    <row r="42" spans="1:6" ht="15.75" customHeight="1" x14ac:dyDescent="0.25">
      <c r="A42" s="4" t="s">
        <v>218</v>
      </c>
      <c r="B42" s="18">
        <v>6</v>
      </c>
      <c r="C42" s="12">
        <v>750</v>
      </c>
      <c r="D42" s="18">
        <v>2</v>
      </c>
      <c r="E42" s="13">
        <f t="shared" si="2"/>
        <v>9000</v>
      </c>
      <c r="F42" s="2" t="s">
        <v>89</v>
      </c>
    </row>
    <row r="43" spans="1:6" ht="15.75" customHeight="1" x14ac:dyDescent="0.25">
      <c r="A43" s="4" t="s">
        <v>219</v>
      </c>
      <c r="B43" s="18">
        <v>3</v>
      </c>
      <c r="C43" s="12">
        <v>120</v>
      </c>
      <c r="D43" s="18">
        <v>30</v>
      </c>
      <c r="E43" s="13">
        <f t="shared" si="2"/>
        <v>10800</v>
      </c>
      <c r="F43" s="2" t="s">
        <v>89</v>
      </c>
    </row>
    <row r="44" spans="1:6" ht="15.75" customHeight="1" x14ac:dyDescent="0.25">
      <c r="A44" s="3" t="s">
        <v>220</v>
      </c>
      <c r="E44" s="22">
        <f>SUM(E34:E43)</f>
        <v>287970</v>
      </c>
    </row>
    <row r="45" spans="1:6" ht="15.75" customHeight="1" x14ac:dyDescent="0.25"/>
    <row r="46" spans="1:6" ht="19.5" customHeight="1" x14ac:dyDescent="0.25">
      <c r="A46" s="77" t="s">
        <v>221</v>
      </c>
      <c r="B46" s="74"/>
      <c r="C46" s="74"/>
      <c r="D46" s="74"/>
      <c r="E46" s="74"/>
      <c r="F46" s="75"/>
    </row>
    <row r="47" spans="1:6" ht="15.75" customHeight="1" x14ac:dyDescent="0.25">
      <c r="A47" s="5" t="s">
        <v>125</v>
      </c>
      <c r="B47" s="5" t="s">
        <v>222</v>
      </c>
      <c r="C47" s="5" t="s">
        <v>223</v>
      </c>
      <c r="D47" s="5" t="s">
        <v>178</v>
      </c>
      <c r="E47" s="5" t="s">
        <v>179</v>
      </c>
      <c r="F47" s="5" t="s">
        <v>75</v>
      </c>
    </row>
    <row r="48" spans="1:6" ht="15.75" customHeight="1" x14ac:dyDescent="0.25">
      <c r="A48" s="4" t="s">
        <v>224</v>
      </c>
      <c r="B48" s="18">
        <v>50</v>
      </c>
      <c r="C48" s="12">
        <v>50</v>
      </c>
      <c r="D48" s="18">
        <v>3</v>
      </c>
      <c r="E48" s="13">
        <f t="shared" ref="E48" si="3">B48*C48*D48</f>
        <v>7500</v>
      </c>
      <c r="F48" s="2" t="s">
        <v>89</v>
      </c>
    </row>
    <row r="49" spans="1:6" ht="15.75" customHeight="1" x14ac:dyDescent="0.25">
      <c r="A49" s="4" t="s">
        <v>225</v>
      </c>
      <c r="B49" s="18">
        <v>1</v>
      </c>
      <c r="C49" s="12">
        <v>5000</v>
      </c>
      <c r="D49" s="18">
        <v>3</v>
      </c>
      <c r="E49" s="13">
        <f>B49*C49*D49</f>
        <v>15000</v>
      </c>
      <c r="F49" s="2" t="s">
        <v>89</v>
      </c>
    </row>
    <row r="50" spans="1:6" ht="15.75" customHeight="1" x14ac:dyDescent="0.25">
      <c r="A50" s="4" t="s">
        <v>226</v>
      </c>
      <c r="B50" s="18">
        <v>30</v>
      </c>
      <c r="C50" s="12">
        <v>100</v>
      </c>
      <c r="D50" s="18">
        <v>3</v>
      </c>
      <c r="E50" s="13">
        <f>B50*C50*D50</f>
        <v>9000</v>
      </c>
      <c r="F50" s="2" t="s">
        <v>89</v>
      </c>
    </row>
    <row r="51" spans="1:6" ht="15.75" customHeight="1" x14ac:dyDescent="0.25">
      <c r="A51" s="3" t="s">
        <v>227</v>
      </c>
      <c r="E51" s="22">
        <f>SUM(E48:E50)</f>
        <v>31500</v>
      </c>
    </row>
    <row r="52" spans="1:6" ht="15.75" customHeight="1" x14ac:dyDescent="0.25"/>
    <row r="53" spans="1:6" ht="19.5" customHeight="1" x14ac:dyDescent="0.25">
      <c r="A53" s="77" t="s">
        <v>228</v>
      </c>
      <c r="B53" s="74"/>
      <c r="C53" s="74"/>
      <c r="D53" s="74"/>
      <c r="E53" s="74"/>
      <c r="F53" s="75"/>
    </row>
    <row r="54" spans="1:6" ht="15.75" customHeight="1" x14ac:dyDescent="0.25">
      <c r="A54" s="5" t="s">
        <v>125</v>
      </c>
      <c r="B54" s="5" t="s">
        <v>222</v>
      </c>
      <c r="C54" s="5" t="s">
        <v>223</v>
      </c>
      <c r="D54" s="5" t="s">
        <v>229</v>
      </c>
      <c r="E54" s="5" t="s">
        <v>179</v>
      </c>
      <c r="F54" s="5" t="s">
        <v>75</v>
      </c>
    </row>
    <row r="55" spans="1:6" ht="15.75" customHeight="1" x14ac:dyDescent="0.25">
      <c r="A55" s="4" t="s">
        <v>230</v>
      </c>
      <c r="B55" s="18">
        <v>1</v>
      </c>
      <c r="C55" s="12">
        <v>50000</v>
      </c>
      <c r="D55" s="18">
        <v>1</v>
      </c>
      <c r="E55" s="13">
        <f t="shared" ref="E55:E62" si="4">B55*C55*D55</f>
        <v>50000</v>
      </c>
      <c r="F55" s="2" t="s">
        <v>36</v>
      </c>
    </row>
    <row r="56" spans="1:6" ht="15.75" customHeight="1" x14ac:dyDescent="0.25">
      <c r="A56" s="4" t="s">
        <v>231</v>
      </c>
      <c r="B56" s="18">
        <v>1</v>
      </c>
      <c r="C56" s="12">
        <v>7500</v>
      </c>
      <c r="D56" s="18">
        <v>1</v>
      </c>
      <c r="E56" s="13">
        <f t="shared" si="4"/>
        <v>7500</v>
      </c>
      <c r="F56" s="2" t="s">
        <v>232</v>
      </c>
    </row>
    <row r="57" spans="1:6" ht="15.75" customHeight="1" x14ac:dyDescent="0.25">
      <c r="A57" s="4" t="s">
        <v>233</v>
      </c>
      <c r="B57" s="18">
        <v>12</v>
      </c>
      <c r="C57" s="12">
        <v>750</v>
      </c>
      <c r="D57" s="18">
        <v>1</v>
      </c>
      <c r="E57" s="13">
        <f t="shared" si="4"/>
        <v>9000</v>
      </c>
      <c r="F57" s="2" t="s">
        <v>234</v>
      </c>
    </row>
    <row r="58" spans="1:6" ht="15.75" customHeight="1" x14ac:dyDescent="0.25">
      <c r="A58" s="4" t="s">
        <v>235</v>
      </c>
      <c r="B58" s="18">
        <v>1</v>
      </c>
      <c r="C58" s="12">
        <v>18000</v>
      </c>
      <c r="D58" s="18">
        <v>1</v>
      </c>
      <c r="E58" s="13">
        <f t="shared" si="4"/>
        <v>18000</v>
      </c>
      <c r="F58" s="2" t="s">
        <v>236</v>
      </c>
    </row>
    <row r="59" spans="1:6" ht="15.75" customHeight="1" x14ac:dyDescent="0.25">
      <c r="A59" s="4" t="s">
        <v>237</v>
      </c>
      <c r="B59" s="18">
        <v>1</v>
      </c>
      <c r="C59" s="12">
        <v>22000</v>
      </c>
      <c r="D59" s="18">
        <v>1</v>
      </c>
      <c r="E59" s="13">
        <f t="shared" si="4"/>
        <v>22000</v>
      </c>
      <c r="F59" s="2" t="s">
        <v>238</v>
      </c>
    </row>
    <row r="60" spans="1:6" ht="15.75" customHeight="1" x14ac:dyDescent="0.25">
      <c r="A60" s="4" t="s">
        <v>239</v>
      </c>
      <c r="B60" s="18">
        <v>1</v>
      </c>
      <c r="C60" s="12">
        <v>5000</v>
      </c>
      <c r="D60" s="18">
        <v>1</v>
      </c>
      <c r="E60" s="13">
        <f t="shared" si="4"/>
        <v>5000</v>
      </c>
      <c r="F60" s="2" t="s">
        <v>240</v>
      </c>
    </row>
    <row r="61" spans="1:6" ht="15.75" customHeight="1" x14ac:dyDescent="0.25">
      <c r="A61" s="4" t="s">
        <v>241</v>
      </c>
      <c r="B61" s="18">
        <v>12</v>
      </c>
      <c r="C61" s="12">
        <v>2000</v>
      </c>
      <c r="D61" s="18">
        <v>1</v>
      </c>
      <c r="E61" s="13">
        <f t="shared" si="4"/>
        <v>24000</v>
      </c>
      <c r="F61" s="2" t="s">
        <v>242</v>
      </c>
    </row>
    <row r="62" spans="1:6" ht="15.75" customHeight="1" x14ac:dyDescent="0.25">
      <c r="A62" s="4" t="s">
        <v>243</v>
      </c>
      <c r="B62" s="18">
        <v>12</v>
      </c>
      <c r="C62" s="12">
        <v>500</v>
      </c>
      <c r="D62" s="18">
        <v>1</v>
      </c>
      <c r="E62" s="13">
        <f t="shared" si="4"/>
        <v>6000</v>
      </c>
      <c r="F62" s="2" t="s">
        <v>244</v>
      </c>
    </row>
    <row r="63" spans="1:6" ht="15.75" customHeight="1" x14ac:dyDescent="0.25">
      <c r="A63" s="4" t="s">
        <v>245</v>
      </c>
      <c r="B63" s="18">
        <v>1</v>
      </c>
      <c r="C63" s="23">
        <v>0.03</v>
      </c>
      <c r="D63" s="18">
        <v>1</v>
      </c>
      <c r="E63" s="13">
        <f>C63*(SUM(E7:E12)+E15)</f>
        <v>5068.125</v>
      </c>
      <c r="F63" s="2" t="s">
        <v>246</v>
      </c>
    </row>
    <row r="64" spans="1:6" ht="15.75" customHeight="1" x14ac:dyDescent="0.25">
      <c r="A64" s="4" t="s">
        <v>247</v>
      </c>
      <c r="B64" s="18">
        <v>60</v>
      </c>
      <c r="C64" s="12">
        <v>50</v>
      </c>
      <c r="D64" s="18">
        <v>1</v>
      </c>
      <c r="E64" s="13">
        <f t="shared" ref="E64:E81" si="5">B64*C64*D64</f>
        <v>3000</v>
      </c>
      <c r="F64" s="2" t="s">
        <v>248</v>
      </c>
    </row>
    <row r="65" spans="1:6" ht="15.75" customHeight="1" x14ac:dyDescent="0.25">
      <c r="A65" s="4" t="s">
        <v>249</v>
      </c>
      <c r="B65" s="18">
        <v>50</v>
      </c>
      <c r="C65" s="12">
        <v>15</v>
      </c>
      <c r="D65" s="18">
        <v>36</v>
      </c>
      <c r="E65" s="13">
        <f>B65*C65*D65</f>
        <v>27000</v>
      </c>
      <c r="F65" s="2" t="s">
        <v>250</v>
      </c>
    </row>
    <row r="66" spans="1:6" ht="15.75" customHeight="1" x14ac:dyDescent="0.25">
      <c r="A66" s="4" t="s">
        <v>251</v>
      </c>
      <c r="B66" s="18">
        <v>1</v>
      </c>
      <c r="C66" s="12">
        <v>5000</v>
      </c>
      <c r="D66" s="18">
        <v>1</v>
      </c>
      <c r="E66" s="13">
        <f>B66*C66*D66</f>
        <v>5000</v>
      </c>
      <c r="F66" s="2" t="s">
        <v>252</v>
      </c>
    </row>
    <row r="67" spans="1:6" ht="15.75" customHeight="1" x14ac:dyDescent="0.25">
      <c r="A67" s="4" t="s">
        <v>253</v>
      </c>
      <c r="B67" s="18">
        <v>60</v>
      </c>
      <c r="C67" s="12">
        <v>75</v>
      </c>
      <c r="D67" s="18">
        <v>1</v>
      </c>
      <c r="E67" s="13">
        <f t="shared" si="5"/>
        <v>4500</v>
      </c>
      <c r="F67" s="2" t="s">
        <v>254</v>
      </c>
    </row>
    <row r="68" spans="1:6" ht="15.75" customHeight="1" x14ac:dyDescent="0.25">
      <c r="A68" s="4" t="s">
        <v>255</v>
      </c>
      <c r="B68" s="18">
        <v>1</v>
      </c>
      <c r="C68" s="12">
        <v>2500</v>
      </c>
      <c r="D68" s="18">
        <v>1</v>
      </c>
      <c r="E68" s="13">
        <f t="shared" si="5"/>
        <v>2500</v>
      </c>
      <c r="F68" s="2" t="s">
        <v>256</v>
      </c>
    </row>
    <row r="69" spans="1:6" ht="15.75" customHeight="1" x14ac:dyDescent="0.25">
      <c r="A69" s="4" t="s">
        <v>257</v>
      </c>
      <c r="B69" s="18">
        <v>12</v>
      </c>
      <c r="C69" s="12">
        <v>250</v>
      </c>
      <c r="D69" s="18">
        <v>1</v>
      </c>
      <c r="E69" s="13">
        <f t="shared" si="5"/>
        <v>3000</v>
      </c>
      <c r="F69" s="2" t="s">
        <v>258</v>
      </c>
    </row>
    <row r="70" spans="1:6" ht="15.75" customHeight="1" x14ac:dyDescent="0.25">
      <c r="A70" s="4" t="s">
        <v>259</v>
      </c>
      <c r="B70" s="18">
        <v>3</v>
      </c>
      <c r="C70" s="12">
        <v>750</v>
      </c>
      <c r="D70" s="18">
        <v>1</v>
      </c>
      <c r="E70" s="13">
        <f t="shared" si="5"/>
        <v>2250</v>
      </c>
      <c r="F70" s="2" t="s">
        <v>260</v>
      </c>
    </row>
    <row r="71" spans="1:6" ht="15.75" customHeight="1" x14ac:dyDescent="0.25">
      <c r="A71" s="4" t="s">
        <v>261</v>
      </c>
      <c r="B71" s="18">
        <v>3</v>
      </c>
      <c r="C71" s="12">
        <v>1500</v>
      </c>
      <c r="D71" s="18">
        <v>1</v>
      </c>
      <c r="E71" s="13">
        <f t="shared" si="5"/>
        <v>4500</v>
      </c>
      <c r="F71" s="2" t="s">
        <v>262</v>
      </c>
    </row>
    <row r="72" spans="1:6" ht="15.75" customHeight="1" x14ac:dyDescent="0.25">
      <c r="A72" s="4" t="s">
        <v>263</v>
      </c>
      <c r="B72" s="18">
        <v>3</v>
      </c>
      <c r="C72" s="12">
        <v>200</v>
      </c>
      <c r="D72" s="18">
        <v>1</v>
      </c>
      <c r="E72" s="13">
        <f t="shared" si="5"/>
        <v>600</v>
      </c>
      <c r="F72" s="2" t="s">
        <v>162</v>
      </c>
    </row>
    <row r="73" spans="1:6" ht="15.75" customHeight="1" x14ac:dyDescent="0.25">
      <c r="A73" s="4" t="s">
        <v>264</v>
      </c>
      <c r="B73" s="18">
        <v>12</v>
      </c>
      <c r="C73" s="12">
        <v>1500</v>
      </c>
      <c r="D73" s="18">
        <v>1</v>
      </c>
      <c r="E73" s="13">
        <f t="shared" si="5"/>
        <v>18000</v>
      </c>
      <c r="F73" s="2" t="s">
        <v>265</v>
      </c>
    </row>
    <row r="74" spans="1:6" ht="15.75" customHeight="1" x14ac:dyDescent="0.25">
      <c r="A74" s="4" t="s">
        <v>266</v>
      </c>
      <c r="B74" s="18">
        <v>1</v>
      </c>
      <c r="C74" s="12">
        <v>8000</v>
      </c>
      <c r="D74" s="18">
        <v>1</v>
      </c>
      <c r="E74" s="13">
        <f>B74*C74*D74</f>
        <v>8000</v>
      </c>
      <c r="F74" s="2" t="s">
        <v>267</v>
      </c>
    </row>
    <row r="75" spans="1:6" ht="15.75" customHeight="1" x14ac:dyDescent="0.25">
      <c r="A75" s="4" t="s">
        <v>268</v>
      </c>
      <c r="B75" s="18">
        <v>1</v>
      </c>
      <c r="C75" s="12">
        <v>5000</v>
      </c>
      <c r="D75" s="18">
        <v>1</v>
      </c>
      <c r="E75" s="13">
        <f t="shared" si="5"/>
        <v>5000</v>
      </c>
      <c r="F75" s="2" t="s">
        <v>269</v>
      </c>
    </row>
    <row r="76" spans="1:6" ht="15.75" customHeight="1" x14ac:dyDescent="0.25">
      <c r="A76" s="4" t="s">
        <v>270</v>
      </c>
      <c r="B76" s="18">
        <v>1</v>
      </c>
      <c r="C76" s="12">
        <v>6000</v>
      </c>
      <c r="D76" s="18">
        <v>1</v>
      </c>
      <c r="E76" s="13">
        <f t="shared" si="5"/>
        <v>6000</v>
      </c>
      <c r="F76" s="2" t="s">
        <v>271</v>
      </c>
    </row>
    <row r="77" spans="1:6" ht="15.75" customHeight="1" x14ac:dyDescent="0.25">
      <c r="A77" s="4" t="s">
        <v>272</v>
      </c>
      <c r="B77" s="18">
        <v>3</v>
      </c>
      <c r="C77" s="12">
        <v>500</v>
      </c>
      <c r="D77" s="18">
        <v>1</v>
      </c>
      <c r="E77" s="13">
        <f t="shared" si="5"/>
        <v>1500</v>
      </c>
      <c r="F77" s="2" t="s">
        <v>273</v>
      </c>
    </row>
    <row r="78" spans="1:6" ht="15.75" customHeight="1" x14ac:dyDescent="0.25">
      <c r="A78" s="4" t="s">
        <v>274</v>
      </c>
      <c r="B78" s="18">
        <v>1</v>
      </c>
      <c r="C78" s="12">
        <v>3000</v>
      </c>
      <c r="D78" s="18">
        <v>1</v>
      </c>
      <c r="E78" s="13">
        <f t="shared" si="5"/>
        <v>3000</v>
      </c>
      <c r="F78" s="2" t="s">
        <v>275</v>
      </c>
    </row>
    <row r="79" spans="1:6" ht="15.75" customHeight="1" x14ac:dyDescent="0.25">
      <c r="A79" s="4" t="s">
        <v>276</v>
      </c>
      <c r="B79" s="18">
        <v>12</v>
      </c>
      <c r="C79" s="12">
        <v>1200</v>
      </c>
      <c r="D79" s="18">
        <v>1</v>
      </c>
      <c r="E79" s="13">
        <f t="shared" si="5"/>
        <v>14400</v>
      </c>
      <c r="F79" s="2" t="s">
        <v>277</v>
      </c>
    </row>
    <row r="80" spans="1:6" ht="15.75" customHeight="1" x14ac:dyDescent="0.25">
      <c r="A80" s="4" t="s">
        <v>278</v>
      </c>
      <c r="B80" s="18">
        <v>12</v>
      </c>
      <c r="C80" s="12">
        <v>400</v>
      </c>
      <c r="D80" s="18">
        <v>1</v>
      </c>
      <c r="E80" s="13">
        <f>B80*C80*D80</f>
        <v>4800</v>
      </c>
      <c r="F80" s="2" t="s">
        <v>279</v>
      </c>
    </row>
    <row r="81" spans="1:6" ht="15.75" customHeight="1" x14ac:dyDescent="0.25">
      <c r="A81" s="4" t="s">
        <v>280</v>
      </c>
      <c r="B81" s="18">
        <v>12</v>
      </c>
      <c r="C81" s="12">
        <v>150</v>
      </c>
      <c r="D81" s="18">
        <v>1</v>
      </c>
      <c r="E81" s="13">
        <f t="shared" si="5"/>
        <v>1800</v>
      </c>
      <c r="F81" s="2" t="s">
        <v>281</v>
      </c>
    </row>
    <row r="82" spans="1:6" ht="15.75" customHeight="1" x14ac:dyDescent="0.25">
      <c r="A82" s="4" t="s">
        <v>282</v>
      </c>
      <c r="B82" s="18">
        <v>1</v>
      </c>
      <c r="C82" s="23">
        <v>0.05</v>
      </c>
      <c r="D82" s="18">
        <v>1</v>
      </c>
      <c r="E82" s="13">
        <f>C82*(E30+E44+E51)</f>
        <v>20963.5</v>
      </c>
      <c r="F82" s="2" t="s">
        <v>246</v>
      </c>
    </row>
    <row r="83" spans="1:6" ht="15.75" customHeight="1" x14ac:dyDescent="0.25">
      <c r="A83" s="3" t="s">
        <v>283</v>
      </c>
      <c r="E83" s="22">
        <f>SUM(E55:E82)</f>
        <v>282381.625</v>
      </c>
    </row>
    <row r="84" spans="1:6" ht="15.75" customHeight="1" x14ac:dyDescent="0.25"/>
    <row r="85" spans="1:6" ht="15.75" customHeight="1" x14ac:dyDescent="0.25">
      <c r="A85" s="1" t="s">
        <v>284</v>
      </c>
      <c r="E85" s="24">
        <f>E30+E44+E51+E83</f>
        <v>701651.625</v>
      </c>
    </row>
    <row r="86" spans="1:6" ht="15.75" customHeight="1" x14ac:dyDescent="0.25">
      <c r="A86" s="1" t="s">
        <v>285</v>
      </c>
      <c r="E86" s="25">
        <f>E18-E85</f>
        <v>-287614.125</v>
      </c>
    </row>
    <row r="87" spans="1:6" ht="15.75" customHeight="1" x14ac:dyDescent="0.25">
      <c r="A87" s="3" t="s">
        <v>286</v>
      </c>
      <c r="E87" s="26">
        <f>E86/E18</f>
        <v>-0.69465718684901734</v>
      </c>
    </row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53:F53"/>
    <mergeCell ref="A1:F1"/>
    <mergeCell ref="A5:F5"/>
    <mergeCell ref="A20:F20"/>
    <mergeCell ref="A32:F32"/>
    <mergeCell ref="A46:F46"/>
  </mergeCells>
  <pageMargins left="0.75" right="0.75" top="1" bottom="1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workbookViewId="0">
      <selection activeCell="B16" sqref="B16"/>
    </sheetView>
  </sheetViews>
  <sheetFormatPr defaultColWidth="14.42578125" defaultRowHeight="15" customHeight="1" x14ac:dyDescent="0.25"/>
  <cols>
    <col min="1" max="1" width="38" customWidth="1"/>
    <col min="2" max="6" width="16" customWidth="1"/>
    <col min="7" max="26" width="8.7109375" customWidth="1"/>
  </cols>
  <sheetData>
    <row r="1" spans="1:6" ht="25.5" customHeight="1" x14ac:dyDescent="0.25">
      <c r="A1" s="73" t="s">
        <v>287</v>
      </c>
      <c r="B1" s="74"/>
      <c r="C1" s="74"/>
      <c r="D1" s="74"/>
      <c r="E1" s="74"/>
      <c r="F1" s="75"/>
    </row>
    <row r="3" spans="1:6" ht="19.5" customHeight="1" x14ac:dyDescent="0.25">
      <c r="A3" s="76" t="s">
        <v>288</v>
      </c>
      <c r="B3" s="74"/>
      <c r="C3" s="74"/>
      <c r="D3" s="74"/>
      <c r="E3" s="74"/>
      <c r="F3" s="75"/>
    </row>
    <row r="4" spans="1:6" x14ac:dyDescent="0.25">
      <c r="A4" s="5" t="s">
        <v>125</v>
      </c>
      <c r="B4" s="5" t="s">
        <v>289</v>
      </c>
      <c r="C4" s="5" t="s">
        <v>290</v>
      </c>
      <c r="D4" s="5" t="s">
        <v>291</v>
      </c>
      <c r="E4" s="5" t="s">
        <v>292</v>
      </c>
      <c r="F4" s="5" t="s">
        <v>293</v>
      </c>
    </row>
    <row r="5" spans="1:6" ht="45" x14ac:dyDescent="0.25">
      <c r="A5" s="4" t="s">
        <v>294</v>
      </c>
      <c r="B5" s="19">
        <f>'4. Year 1 Proforma'!$E$18-'4. Year 1 Proforma'!$E$17</f>
        <v>314037.5</v>
      </c>
      <c r="C5" s="13">
        <f>B5*(1+'1. Cover &amp; Assumptions'!$B$16)</f>
        <v>345441.25</v>
      </c>
      <c r="D5" s="13">
        <f>C5*(1+'1. Cover &amp; Assumptions'!$B$16)</f>
        <v>379985.37500000006</v>
      </c>
      <c r="E5" s="13">
        <f>D5*(1+'1. Cover &amp; Assumptions'!$B$16)</f>
        <v>417983.91250000009</v>
      </c>
      <c r="F5" s="13">
        <f>E5*(1+'1. Cover &amp; Assumptions'!$B$16)</f>
        <v>459782.30375000014</v>
      </c>
    </row>
    <row r="6" spans="1:6" x14ac:dyDescent="0.25">
      <c r="A6" s="4" t="s">
        <v>295</v>
      </c>
      <c r="B6" s="19">
        <f>'4. Year 1 Proforma'!$E$17</f>
        <v>100000</v>
      </c>
      <c r="C6" s="12">
        <v>0</v>
      </c>
      <c r="D6" s="12">
        <v>0</v>
      </c>
      <c r="E6" s="12">
        <v>0</v>
      </c>
      <c r="F6" s="12">
        <v>0</v>
      </c>
    </row>
    <row r="7" spans="1:6" x14ac:dyDescent="0.25">
      <c r="A7" s="3" t="s">
        <v>192</v>
      </c>
      <c r="B7" s="27">
        <f t="shared" ref="B7:F7" si="0">SUM(B5:B6)</f>
        <v>414037.5</v>
      </c>
      <c r="C7" s="27">
        <f t="shared" si="0"/>
        <v>345441.25</v>
      </c>
      <c r="D7" s="27">
        <f t="shared" si="0"/>
        <v>379985.37500000006</v>
      </c>
      <c r="E7" s="27">
        <f t="shared" si="0"/>
        <v>417983.91250000009</v>
      </c>
      <c r="F7" s="27">
        <f t="shared" si="0"/>
        <v>459782.30375000014</v>
      </c>
    </row>
    <row r="9" spans="1:6" ht="19.5" customHeight="1" x14ac:dyDescent="0.25">
      <c r="A9" s="77" t="s">
        <v>296</v>
      </c>
      <c r="B9" s="74"/>
      <c r="C9" s="74"/>
      <c r="D9" s="74"/>
      <c r="E9" s="74"/>
      <c r="F9" s="75"/>
    </row>
    <row r="10" spans="1:6" x14ac:dyDescent="0.25">
      <c r="A10" s="5" t="s">
        <v>125</v>
      </c>
      <c r="B10" s="5" t="s">
        <v>289</v>
      </c>
      <c r="C10" s="5" t="s">
        <v>290</v>
      </c>
      <c r="D10" s="5" t="s">
        <v>291</v>
      </c>
      <c r="E10" s="5" t="s">
        <v>292</v>
      </c>
      <c r="F10" s="5" t="s">
        <v>293</v>
      </c>
    </row>
    <row r="11" spans="1:6" ht="30" x14ac:dyDescent="0.25">
      <c r="A11" s="4" t="s">
        <v>297</v>
      </c>
      <c r="B11" s="19">
        <f>'4. Year 1 Proforma'!$E$30</f>
        <v>99800</v>
      </c>
      <c r="C11" s="13">
        <f>B11*(1+'1. Cover &amp; Assumptions'!$B$17)</f>
        <v>103792</v>
      </c>
      <c r="D11" s="13">
        <f>C11*(1+'1. Cover &amp; Assumptions'!$B$17)</f>
        <v>107943.68000000001</v>
      </c>
      <c r="E11" s="13">
        <f>D11*(1+'1. Cover &amp; Assumptions'!$B$17)</f>
        <v>112261.42720000001</v>
      </c>
      <c r="F11" s="13">
        <f>E11*(1+'1. Cover &amp; Assumptions'!$B$17)</f>
        <v>116751.88428800002</v>
      </c>
    </row>
    <row r="12" spans="1:6" x14ac:dyDescent="0.25">
      <c r="A12" s="4" t="s">
        <v>298</v>
      </c>
      <c r="B12" s="19">
        <f>'4. Year 1 Proforma'!$E$44</f>
        <v>287970</v>
      </c>
      <c r="C12" s="13">
        <f>B12*(1+'1. Cover &amp; Assumptions'!$B$17)</f>
        <v>299488.8</v>
      </c>
      <c r="D12" s="13">
        <f>C12*(1+'1. Cover &amp; Assumptions'!$B$17)</f>
        <v>311468.35200000001</v>
      </c>
      <c r="E12" s="13">
        <f>D12*(1+'1. Cover &amp; Assumptions'!$B$17)</f>
        <v>323927.08608000004</v>
      </c>
      <c r="F12" s="13">
        <f>E12*(1+'1. Cover &amp; Assumptions'!$B$17)</f>
        <v>336884.16952320008</v>
      </c>
    </row>
    <row r="13" spans="1:6" x14ac:dyDescent="0.25">
      <c r="A13" s="4" t="s">
        <v>299</v>
      </c>
      <c r="B13" s="19">
        <f>'4. Year 1 Proforma'!$E$51</f>
        <v>31500</v>
      </c>
      <c r="C13" s="13">
        <f>B13*(1+'1. Cover &amp; Assumptions'!$B$17)</f>
        <v>32760</v>
      </c>
      <c r="D13" s="13">
        <f>C13*(1+'1. Cover &amp; Assumptions'!$B$17)</f>
        <v>34070.400000000001</v>
      </c>
      <c r="E13" s="13">
        <f>D13*(1+'1. Cover &amp; Assumptions'!$B$17)</f>
        <v>35433.216</v>
      </c>
      <c r="F13" s="13">
        <f>E13*(1+'1. Cover &amp; Assumptions'!$B$17)</f>
        <v>36850.54464</v>
      </c>
    </row>
    <row r="14" spans="1:6" x14ac:dyDescent="0.25">
      <c r="A14" s="4" t="s">
        <v>300</v>
      </c>
      <c r="B14" s="19">
        <f>'4. Year 1 Proforma'!$E$83</f>
        <v>282381.625</v>
      </c>
      <c r="C14" s="13">
        <f>(B14-'4. Year 1 Proforma'!$E$56)*(1+'1. Cover &amp; Assumptions'!$B$17)</f>
        <v>285876.89</v>
      </c>
      <c r="D14" s="13">
        <f>C14*(1+'1. Cover &amp; Assumptions'!$B$17)</f>
        <v>297311.9656</v>
      </c>
      <c r="E14" s="13">
        <f>D14*(1+'1. Cover &amp; Assumptions'!$B$17)</f>
        <v>309204.44422400004</v>
      </c>
      <c r="F14" s="13">
        <f>E14*(1+'1. Cover &amp; Assumptions'!$B$17)</f>
        <v>321572.62199296005</v>
      </c>
    </row>
    <row r="15" spans="1:6" x14ac:dyDescent="0.25">
      <c r="A15" s="3" t="s">
        <v>284</v>
      </c>
      <c r="B15" s="28">
        <f>SUM(B11:B14)</f>
        <v>701651.625</v>
      </c>
      <c r="C15" s="28">
        <f t="shared" ref="C15:F15" si="1">SUM(C11:C14)</f>
        <v>721917.69</v>
      </c>
      <c r="D15" s="28">
        <f t="shared" si="1"/>
        <v>750794.39760000003</v>
      </c>
      <c r="E15" s="28">
        <f t="shared" si="1"/>
        <v>780826.17350400006</v>
      </c>
      <c r="F15" s="28">
        <f t="shared" si="1"/>
        <v>812059.22044416005</v>
      </c>
    </row>
    <row r="17" spans="1:6" x14ac:dyDescent="0.25">
      <c r="A17" s="20" t="s">
        <v>301</v>
      </c>
      <c r="B17" s="29">
        <f t="shared" ref="B17:F17" si="2">B7-B15</f>
        <v>-287614.125</v>
      </c>
      <c r="C17" s="29">
        <f t="shared" si="2"/>
        <v>-376476.43999999994</v>
      </c>
      <c r="D17" s="29">
        <f t="shared" si="2"/>
        <v>-370809.02259999997</v>
      </c>
      <c r="E17" s="29">
        <f t="shared" si="2"/>
        <v>-362842.26100399997</v>
      </c>
      <c r="F17" s="29">
        <f t="shared" si="2"/>
        <v>-352276.91669415991</v>
      </c>
    </row>
    <row r="18" spans="1:6" x14ac:dyDescent="0.25">
      <c r="A18" s="3" t="s">
        <v>286</v>
      </c>
      <c r="B18" s="26">
        <f t="shared" ref="B18:F18" si="3">B17/B7</f>
        <v>-0.69465718684901734</v>
      </c>
      <c r="C18" s="26">
        <f t="shared" si="3"/>
        <v>-1.0898421656359798</v>
      </c>
      <c r="D18" s="26">
        <f t="shared" si="3"/>
        <v>-0.97585077478310822</v>
      </c>
      <c r="E18" s="26">
        <f t="shared" si="3"/>
        <v>-0.86807709615857498</v>
      </c>
      <c r="F18" s="26">
        <f t="shared" si="3"/>
        <v>-0.76618198182265251</v>
      </c>
    </row>
    <row r="19" spans="1:6" x14ac:dyDescent="0.25">
      <c r="A19" s="30" t="s">
        <v>302</v>
      </c>
      <c r="B19" s="31">
        <f>B17</f>
        <v>-287614.125</v>
      </c>
      <c r="C19" s="31">
        <f t="shared" ref="C19:F19" si="4">B19+C17</f>
        <v>-664090.56499999994</v>
      </c>
      <c r="D19" s="31">
        <f t="shared" si="4"/>
        <v>-1034899.5876</v>
      </c>
      <c r="E19" s="31">
        <f t="shared" si="4"/>
        <v>-1397741.8486039999</v>
      </c>
      <c r="F19" s="31">
        <f t="shared" si="4"/>
        <v>-1750018.7652981598</v>
      </c>
    </row>
    <row r="21" spans="1:6" ht="15.75" customHeight="1" x14ac:dyDescent="0.25">
      <c r="A21" s="2" t="s">
        <v>303</v>
      </c>
    </row>
    <row r="22" spans="1:6" ht="15.75" customHeight="1" x14ac:dyDescent="0.25">
      <c r="A22" s="4" t="s">
        <v>304</v>
      </c>
      <c r="B22" s="19">
        <f>'3. Rose Stadium Detail'!$E$18</f>
        <v>21180</v>
      </c>
      <c r="C22" s="13">
        <f>B22*(1+'1. Cover &amp; Assumptions'!$B$17)</f>
        <v>22027.200000000001</v>
      </c>
      <c r="D22" s="13">
        <f>C22*(1+'1. Cover &amp; Assumptions'!$B$17)</f>
        <v>22908.288</v>
      </c>
      <c r="E22" s="13">
        <f>D22*(1+'1. Cover &amp; Assumptions'!$B$17)</f>
        <v>23824.61952</v>
      </c>
      <c r="F22" s="13">
        <f>E22*(1+'1. Cover &amp; Assumptions'!$B$17)</f>
        <v>24777.604300800002</v>
      </c>
    </row>
    <row r="23" spans="1:6" ht="15.75" customHeight="1" x14ac:dyDescent="0.25">
      <c r="A23" s="4" t="s">
        <v>305</v>
      </c>
      <c r="B23" s="19">
        <f>'1. Cover &amp; Assumptions'!$B$22</f>
        <v>50000</v>
      </c>
      <c r="C23" s="19">
        <f>'1. Cover &amp; Assumptions'!$B$22</f>
        <v>50000</v>
      </c>
      <c r="D23" s="19">
        <f>'1. Cover &amp; Assumptions'!$B$22</f>
        <v>50000</v>
      </c>
      <c r="E23" s="19">
        <f>'1. Cover &amp; Assumptions'!$B$22</f>
        <v>50000</v>
      </c>
      <c r="F23" s="19">
        <f>'1. Cover &amp; Assumptions'!$B$22</f>
        <v>50000</v>
      </c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F1"/>
    <mergeCell ref="A3:F3"/>
    <mergeCell ref="A9:F9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showGridLines="0" workbookViewId="0">
      <selection activeCell="C14" sqref="C14"/>
    </sheetView>
  </sheetViews>
  <sheetFormatPr defaultColWidth="14.42578125" defaultRowHeight="15" customHeight="1" x14ac:dyDescent="0.25"/>
  <cols>
    <col min="1" max="1" width="38" customWidth="1"/>
    <col min="2" max="11" width="16" customWidth="1"/>
    <col min="12" max="26" width="8.7109375" customWidth="1"/>
  </cols>
  <sheetData>
    <row r="1" spans="1:11" ht="25.5" customHeight="1" x14ac:dyDescent="0.25">
      <c r="A1" s="73" t="s">
        <v>306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3" spans="1:11" ht="19.5" customHeight="1" x14ac:dyDescent="0.25">
      <c r="A3" s="76" t="s">
        <v>288</v>
      </c>
      <c r="B3" s="74"/>
      <c r="C3" s="74"/>
      <c r="D3" s="74"/>
      <c r="E3" s="74"/>
      <c r="F3" s="74"/>
      <c r="G3" s="74"/>
      <c r="H3" s="74"/>
      <c r="I3" s="74"/>
      <c r="J3" s="74"/>
      <c r="K3" s="75"/>
    </row>
    <row r="4" spans="1:11" x14ac:dyDescent="0.25">
      <c r="A4" s="5" t="s">
        <v>125</v>
      </c>
      <c r="B4" s="5" t="s">
        <v>289</v>
      </c>
      <c r="C4" s="5" t="s">
        <v>290</v>
      </c>
      <c r="D4" s="5" t="s">
        <v>291</v>
      </c>
      <c r="E4" s="5" t="s">
        <v>292</v>
      </c>
      <c r="F4" s="5" t="s">
        <v>293</v>
      </c>
      <c r="G4" s="5" t="s">
        <v>307</v>
      </c>
      <c r="H4" s="5" t="s">
        <v>308</v>
      </c>
      <c r="I4" s="5" t="s">
        <v>309</v>
      </c>
      <c r="J4" s="5" t="s">
        <v>310</v>
      </c>
      <c r="K4" s="5" t="s">
        <v>311</v>
      </c>
    </row>
    <row r="5" spans="1:11" ht="45" x14ac:dyDescent="0.25">
      <c r="A5" s="4" t="s">
        <v>294</v>
      </c>
      <c r="B5" s="19">
        <f>'4. Year 1 Proforma'!$E$18</f>
        <v>414037.5</v>
      </c>
      <c r="C5" s="13">
        <f>B5*(1+'1. Cover &amp; Assumptions'!$B$16)</f>
        <v>455441.25000000006</v>
      </c>
      <c r="D5" s="13">
        <f>C5*(1+'1. Cover &amp; Assumptions'!$B$16)</f>
        <v>500985.37500000012</v>
      </c>
      <c r="E5" s="13">
        <f>D5*(1+'1. Cover &amp; Assumptions'!$B$16)</f>
        <v>551083.91250000021</v>
      </c>
      <c r="F5" s="13">
        <f>E5*(1+'1. Cover &amp; Assumptions'!$B$16)</f>
        <v>606192.30375000031</v>
      </c>
      <c r="G5" s="13">
        <f>F5*(1+'1. Cover &amp; Assumptions'!$B$16)</f>
        <v>666811.53412500035</v>
      </c>
      <c r="H5" s="13">
        <f>G5*(1+'1. Cover &amp; Assumptions'!$B$16)</f>
        <v>733492.6875375004</v>
      </c>
      <c r="I5" s="13">
        <f>H5*(1+'1. Cover &amp; Assumptions'!$B$16)</f>
        <v>806841.95629125054</v>
      </c>
      <c r="J5" s="13">
        <f>I5*(1+'1. Cover &amp; Assumptions'!$B$16)</f>
        <v>887526.15192037565</v>
      </c>
      <c r="K5" s="13">
        <f>J5*(1+'1. Cover &amp; Assumptions'!$B$16)</f>
        <v>976278.7671124133</v>
      </c>
    </row>
    <row r="6" spans="1:11" x14ac:dyDescent="0.25">
      <c r="A6" s="4" t="s">
        <v>295</v>
      </c>
      <c r="B6" s="19"/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</row>
    <row r="7" spans="1:11" x14ac:dyDescent="0.25">
      <c r="A7" s="3" t="s">
        <v>192</v>
      </c>
      <c r="B7" s="27">
        <f>SUM(B5:B6)</f>
        <v>414037.5</v>
      </c>
      <c r="C7" s="27">
        <f>SUM(C5:C6)</f>
        <v>455441.25000000006</v>
      </c>
      <c r="D7" s="27">
        <f>SUM(D5:D6)</f>
        <v>500985.37500000012</v>
      </c>
      <c r="E7" s="27">
        <f>SUM(E5:E6)</f>
        <v>551083.91250000021</v>
      </c>
      <c r="F7" s="27">
        <f>SUM(F5:F6)</f>
        <v>606192.30375000031</v>
      </c>
      <c r="G7" s="27">
        <f>SUM(G5:G6)</f>
        <v>666811.53412500035</v>
      </c>
      <c r="H7" s="27">
        <f>SUM(H5:H6)</f>
        <v>733492.6875375004</v>
      </c>
      <c r="I7" s="27">
        <f>SUM(I5:I6)</f>
        <v>806841.95629125054</v>
      </c>
      <c r="J7" s="27">
        <f>SUM(J5:J6)</f>
        <v>887526.15192037565</v>
      </c>
      <c r="K7" s="27">
        <f>SUM(K5:K6)</f>
        <v>976278.7671124133</v>
      </c>
    </row>
    <row r="9" spans="1:11" ht="19.5" customHeight="1" x14ac:dyDescent="0.25">
      <c r="A9" s="77" t="s">
        <v>296</v>
      </c>
      <c r="B9" s="74"/>
      <c r="C9" s="74"/>
      <c r="D9" s="74"/>
      <c r="E9" s="74"/>
      <c r="F9" s="74"/>
      <c r="G9" s="74"/>
      <c r="H9" s="74"/>
      <c r="I9" s="74"/>
      <c r="J9" s="74"/>
      <c r="K9" s="75"/>
    </row>
    <row r="10" spans="1:11" x14ac:dyDescent="0.25">
      <c r="A10" s="5" t="s">
        <v>125</v>
      </c>
      <c r="B10" s="5" t="s">
        <v>289</v>
      </c>
      <c r="C10" s="5" t="s">
        <v>290</v>
      </c>
      <c r="D10" s="5" t="s">
        <v>291</v>
      </c>
      <c r="E10" s="5" t="s">
        <v>292</v>
      </c>
      <c r="F10" s="5" t="s">
        <v>293</v>
      </c>
      <c r="G10" s="5" t="s">
        <v>307</v>
      </c>
      <c r="H10" s="5" t="s">
        <v>308</v>
      </c>
      <c r="I10" s="5" t="s">
        <v>309</v>
      </c>
      <c r="J10" s="5" t="s">
        <v>310</v>
      </c>
      <c r="K10" s="5" t="s">
        <v>311</v>
      </c>
    </row>
    <row r="11" spans="1:11" ht="30" x14ac:dyDescent="0.25">
      <c r="A11" s="4" t="s">
        <v>297</v>
      </c>
      <c r="B11" s="19">
        <f>'4. Year 1 Proforma'!$E$30</f>
        <v>99800</v>
      </c>
      <c r="C11" s="13">
        <f>B11*(1+'1. Cover &amp; Assumptions'!$B$17)</f>
        <v>103792</v>
      </c>
      <c r="D11" s="13">
        <f>C11*(1+'1. Cover &amp; Assumptions'!$B$17)</f>
        <v>107943.68000000001</v>
      </c>
      <c r="E11" s="13">
        <f>D11*(1+'1. Cover &amp; Assumptions'!$B$17)</f>
        <v>112261.42720000001</v>
      </c>
      <c r="F11" s="13">
        <f>E11*(1+'1. Cover &amp; Assumptions'!$B$17)</f>
        <v>116751.88428800002</v>
      </c>
      <c r="G11" s="13">
        <f>F11*(1+'1. Cover &amp; Assumptions'!$B$17)</f>
        <v>121421.95965952003</v>
      </c>
      <c r="H11" s="13">
        <f>G11*(1+'1. Cover &amp; Assumptions'!$B$17)</f>
        <v>126278.83804590083</v>
      </c>
      <c r="I11" s="13">
        <f>H11*(1+'1. Cover &amp; Assumptions'!$B$17)</f>
        <v>131329.99156773687</v>
      </c>
      <c r="J11" s="13">
        <f>I11*(1+'1. Cover &amp; Assumptions'!$B$17)</f>
        <v>136583.19123044636</v>
      </c>
      <c r="K11" s="13">
        <f>J11*(1+'1. Cover &amp; Assumptions'!$B$17)</f>
        <v>142046.51887966422</v>
      </c>
    </row>
    <row r="12" spans="1:11" x14ac:dyDescent="0.25">
      <c r="A12" s="4" t="s">
        <v>298</v>
      </c>
      <c r="B12" s="19">
        <f>'4. Year 1 Proforma'!$E$44</f>
        <v>287970</v>
      </c>
      <c r="C12" s="13">
        <f>B12*(1+'1. Cover &amp; Assumptions'!$B$17)</f>
        <v>299488.8</v>
      </c>
      <c r="D12" s="13">
        <f>C12*(1+'1. Cover &amp; Assumptions'!$B$17)</f>
        <v>311468.35200000001</v>
      </c>
      <c r="E12" s="13">
        <f>D12*(1+'1. Cover &amp; Assumptions'!$B$17)</f>
        <v>323927.08608000004</v>
      </c>
      <c r="F12" s="13">
        <f>E12*(1+'1. Cover &amp; Assumptions'!$B$17)</f>
        <v>336884.16952320008</v>
      </c>
      <c r="G12" s="13">
        <f>F12*(1+'1. Cover &amp; Assumptions'!$B$17)</f>
        <v>350359.53630412807</v>
      </c>
      <c r="H12" s="13">
        <f>G12*(1+'1. Cover &amp; Assumptions'!$B$17)</f>
        <v>364373.9177562932</v>
      </c>
      <c r="I12" s="13">
        <f>H12*(1+'1. Cover &amp; Assumptions'!$B$17)</f>
        <v>378948.87446654495</v>
      </c>
      <c r="J12" s="13">
        <f>I12*(1+'1. Cover &amp; Assumptions'!$B$17)</f>
        <v>394106.82944520673</v>
      </c>
      <c r="K12" s="13">
        <f>J12*(1+'1. Cover &amp; Assumptions'!$B$17)</f>
        <v>409871.102623015</v>
      </c>
    </row>
    <row r="13" spans="1:11" x14ac:dyDescent="0.25">
      <c r="A13" s="4" t="s">
        <v>299</v>
      </c>
      <c r="B13" s="19">
        <f>'4. Year 1 Proforma'!$E$51</f>
        <v>31500</v>
      </c>
      <c r="C13" s="13">
        <f>B13*(1+'1. Cover &amp; Assumptions'!$B$17)</f>
        <v>32760</v>
      </c>
      <c r="D13" s="13">
        <f>C13*(1+'1. Cover &amp; Assumptions'!$B$17)</f>
        <v>34070.400000000001</v>
      </c>
      <c r="E13" s="13">
        <f>D13*(1+'1. Cover &amp; Assumptions'!$B$17)</f>
        <v>35433.216</v>
      </c>
      <c r="F13" s="13">
        <f>E13*(1+'1. Cover &amp; Assumptions'!$B$17)</f>
        <v>36850.54464</v>
      </c>
      <c r="G13" s="13">
        <f>F13*(1+'1. Cover &amp; Assumptions'!$B$17)</f>
        <v>38324.566425600002</v>
      </c>
      <c r="H13" s="13">
        <f>G13*(1+'1. Cover &amp; Assumptions'!$B$17)</f>
        <v>39857.549082624006</v>
      </c>
      <c r="I13" s="13">
        <f>H13*(1+'1. Cover &amp; Assumptions'!$B$17)</f>
        <v>41451.851045928968</v>
      </c>
      <c r="J13" s="13">
        <f>I13*(1+'1. Cover &amp; Assumptions'!$B$17)</f>
        <v>43109.925087766125</v>
      </c>
      <c r="K13" s="13">
        <f>J13*(1+'1. Cover &amp; Assumptions'!$B$17)</f>
        <v>44834.322091276772</v>
      </c>
    </row>
    <row r="14" spans="1:11" x14ac:dyDescent="0.25">
      <c r="A14" s="4" t="s">
        <v>300</v>
      </c>
      <c r="B14" s="19">
        <f>'4. Year 1 Proforma'!$E$83</f>
        <v>282381.625</v>
      </c>
      <c r="C14" s="13">
        <f>B14*(1+'1. Cover &amp; Assumptions'!$B$17)</f>
        <v>293676.89</v>
      </c>
      <c r="D14" s="13">
        <f>C14*(1+'1. Cover &amp; Assumptions'!$B$17)</f>
        <v>305423.9656</v>
      </c>
      <c r="E14" s="13">
        <f>D14*(1+'1. Cover &amp; Assumptions'!$B$17)</f>
        <v>317640.92422400002</v>
      </c>
      <c r="F14" s="13">
        <f>E14*(1+'1. Cover &amp; Assumptions'!$B$17)</f>
        <v>330346.56119296001</v>
      </c>
      <c r="G14" s="13">
        <f>F14*(1+'1. Cover &amp; Assumptions'!$B$17)</f>
        <v>343560.4236406784</v>
      </c>
      <c r="H14" s="13">
        <f>G14*(1+'1. Cover &amp; Assumptions'!$B$17)</f>
        <v>357302.84058630554</v>
      </c>
      <c r="I14" s="13">
        <f>H14*(1+'1. Cover &amp; Assumptions'!$B$17)</f>
        <v>371594.95420975779</v>
      </c>
      <c r="J14" s="13">
        <f>I14*(1+'1. Cover &amp; Assumptions'!$B$17)</f>
        <v>386458.75237814814</v>
      </c>
      <c r="K14" s="13">
        <f>J14*(1+'1. Cover &amp; Assumptions'!$B$17)</f>
        <v>401917.10247327411</v>
      </c>
    </row>
    <row r="15" spans="1:11" x14ac:dyDescent="0.25">
      <c r="A15" s="3" t="s">
        <v>284</v>
      </c>
      <c r="B15" s="28">
        <f t="shared" ref="B15:K15" si="0">SUM(B11:B14)</f>
        <v>701651.625</v>
      </c>
      <c r="C15" s="28">
        <f t="shared" si="0"/>
        <v>729717.69</v>
      </c>
      <c r="D15" s="28">
        <f t="shared" si="0"/>
        <v>758906.39760000003</v>
      </c>
      <c r="E15" s="28">
        <f t="shared" si="0"/>
        <v>789262.65350400005</v>
      </c>
      <c r="F15" s="28">
        <f t="shared" si="0"/>
        <v>820833.15964416007</v>
      </c>
      <c r="G15" s="28">
        <f t="shared" si="0"/>
        <v>853666.48602992645</v>
      </c>
      <c r="H15" s="28">
        <f t="shared" si="0"/>
        <v>887813.14547112351</v>
      </c>
      <c r="I15" s="28">
        <f t="shared" si="0"/>
        <v>923325.67128996854</v>
      </c>
      <c r="J15" s="28">
        <f t="shared" si="0"/>
        <v>960258.69814156741</v>
      </c>
      <c r="K15" s="28">
        <f t="shared" si="0"/>
        <v>998669.04606723005</v>
      </c>
    </row>
    <row r="17" spans="1:11" x14ac:dyDescent="0.25">
      <c r="A17" s="20" t="s">
        <v>301</v>
      </c>
      <c r="B17" s="29">
        <f t="shared" ref="B17:K17" si="1">B7-B15</f>
        <v>-287614.125</v>
      </c>
      <c r="C17" s="29">
        <f t="shared" si="1"/>
        <v>-274276.43999999989</v>
      </c>
      <c r="D17" s="29">
        <f t="shared" si="1"/>
        <v>-257921.02259999991</v>
      </c>
      <c r="E17" s="29">
        <f t="shared" si="1"/>
        <v>-238178.74100399984</v>
      </c>
      <c r="F17" s="29">
        <f t="shared" si="1"/>
        <v>-214640.85589415976</v>
      </c>
      <c r="G17" s="29">
        <f t="shared" si="1"/>
        <v>-186854.9519049261</v>
      </c>
      <c r="H17" s="29">
        <f t="shared" si="1"/>
        <v>-154320.45793362311</v>
      </c>
      <c r="I17" s="29">
        <f t="shared" si="1"/>
        <v>-116483.714998718</v>
      </c>
      <c r="J17" s="29">
        <f t="shared" si="1"/>
        <v>-72732.546221191762</v>
      </c>
      <c r="K17" s="29">
        <f t="shared" si="1"/>
        <v>-22390.278954816749</v>
      </c>
    </row>
    <row r="18" spans="1:11" x14ac:dyDescent="0.25">
      <c r="A18" s="3" t="s">
        <v>286</v>
      </c>
      <c r="B18" s="26">
        <f t="shared" ref="B18:K18" si="2">B17/B7</f>
        <v>-0.69465718684901734</v>
      </c>
      <c r="C18" s="26">
        <f t="shared" si="2"/>
        <v>-0.60222134029361607</v>
      </c>
      <c r="D18" s="26">
        <f t="shared" si="2"/>
        <v>-0.51482744900487332</v>
      </c>
      <c r="E18" s="26">
        <f t="shared" si="2"/>
        <v>-0.43220049724097098</v>
      </c>
      <c r="F18" s="26">
        <f t="shared" si="2"/>
        <v>-0.35408047011873606</v>
      </c>
      <c r="G18" s="26">
        <f t="shared" si="2"/>
        <v>-0.28022153538498679</v>
      </c>
      <c r="H18" s="26">
        <f t="shared" si="2"/>
        <v>-0.21039126981853293</v>
      </c>
      <c r="I18" s="26">
        <f t="shared" si="2"/>
        <v>-0.14436992782843111</v>
      </c>
      <c r="J18" s="26">
        <f t="shared" si="2"/>
        <v>-8.1949749946880396E-2</v>
      </c>
      <c r="K18" s="26">
        <f t="shared" si="2"/>
        <v>-2.2934309040686766E-2</v>
      </c>
    </row>
    <row r="19" spans="1:11" x14ac:dyDescent="0.25">
      <c r="A19" s="30" t="s">
        <v>302</v>
      </c>
      <c r="B19" s="31">
        <f>B17</f>
        <v>-287614.125</v>
      </c>
      <c r="C19" s="31">
        <f t="shared" ref="C19:K19" si="3">B19+C17</f>
        <v>-561890.56499999994</v>
      </c>
      <c r="D19" s="31">
        <f t="shared" si="3"/>
        <v>-819811.58759999985</v>
      </c>
      <c r="E19" s="31">
        <f t="shared" si="3"/>
        <v>-1057990.3286039997</v>
      </c>
      <c r="F19" s="31">
        <f t="shared" si="3"/>
        <v>-1272631.1844981594</v>
      </c>
      <c r="G19" s="31">
        <f t="shared" si="3"/>
        <v>-1459486.1364030857</v>
      </c>
      <c r="H19" s="31">
        <f t="shared" si="3"/>
        <v>-1613806.5943367088</v>
      </c>
      <c r="I19" s="31">
        <f t="shared" si="3"/>
        <v>-1730290.3093354269</v>
      </c>
      <c r="J19" s="31">
        <f t="shared" si="3"/>
        <v>-1803022.8555566187</v>
      </c>
      <c r="K19" s="31">
        <f t="shared" si="3"/>
        <v>-1825413.1345114354</v>
      </c>
    </row>
    <row r="21" spans="1:11" ht="15.75" customHeight="1" x14ac:dyDescent="0.25">
      <c r="A21" s="2" t="s">
        <v>303</v>
      </c>
    </row>
    <row r="22" spans="1:11" ht="15.75" customHeight="1" x14ac:dyDescent="0.25">
      <c r="A22" s="4" t="s">
        <v>304</v>
      </c>
      <c r="B22" s="19">
        <f>'3. Rose Stadium Detail'!$E$18</f>
        <v>21180</v>
      </c>
      <c r="C22" s="13">
        <f>B22*(1+'1. Cover &amp; Assumptions'!$B$17)</f>
        <v>22027.200000000001</v>
      </c>
      <c r="D22" s="13">
        <f>C22*(1+'1. Cover &amp; Assumptions'!$B$17)</f>
        <v>22908.288</v>
      </c>
      <c r="E22" s="13">
        <f>D22*(1+'1. Cover &amp; Assumptions'!$B$17)</f>
        <v>23824.61952</v>
      </c>
      <c r="F22" s="13">
        <f>E22*(1+'1. Cover &amp; Assumptions'!$B$17)</f>
        <v>24777.604300800002</v>
      </c>
      <c r="G22" s="13">
        <f>F22*(1+'1. Cover &amp; Assumptions'!$B$17)</f>
        <v>25768.708472832004</v>
      </c>
      <c r="H22" s="13">
        <f>G22*(1+'1. Cover &amp; Assumptions'!$B$17)</f>
        <v>26799.456811745284</v>
      </c>
      <c r="I22" s="13">
        <f>H22*(1+'1. Cover &amp; Assumptions'!$B$17)</f>
        <v>27871.435084215096</v>
      </c>
      <c r="J22" s="13">
        <f>I22*(1+'1. Cover &amp; Assumptions'!$B$17)</f>
        <v>28986.292487583702</v>
      </c>
      <c r="K22" s="13">
        <f>J22*(1+'1. Cover &amp; Assumptions'!$B$17)</f>
        <v>30145.74418708705</v>
      </c>
    </row>
    <row r="23" spans="1:11" ht="15.75" customHeight="1" x14ac:dyDescent="0.25">
      <c r="A23" s="4" t="s">
        <v>305</v>
      </c>
      <c r="B23" s="19">
        <f>'1. Cover &amp; Assumptions'!$B$22</f>
        <v>50000</v>
      </c>
      <c r="C23" s="19">
        <f>'1. Cover &amp; Assumptions'!$B$22</f>
        <v>50000</v>
      </c>
      <c r="D23" s="19">
        <f>'1. Cover &amp; Assumptions'!$B$22</f>
        <v>50000</v>
      </c>
      <c r="E23" s="19">
        <f>'1. Cover &amp; Assumptions'!$B$22</f>
        <v>50000</v>
      </c>
      <c r="F23" s="19">
        <f>'1. Cover &amp; Assumptions'!$B$22</f>
        <v>50000</v>
      </c>
      <c r="G23" s="19">
        <f>'1. Cover &amp; Assumptions'!$B$22</f>
        <v>50000</v>
      </c>
      <c r="H23" s="19">
        <f>'1. Cover &amp; Assumptions'!$B$22</f>
        <v>50000</v>
      </c>
      <c r="I23" s="19">
        <f>'1. Cover &amp; Assumptions'!$B$22</f>
        <v>50000</v>
      </c>
      <c r="J23" s="19">
        <f>'1. Cover &amp; Assumptions'!$B$22</f>
        <v>50000</v>
      </c>
      <c r="K23" s="19">
        <f>'1. Cover &amp; Assumptions'!$B$22</f>
        <v>50000</v>
      </c>
    </row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K1"/>
    <mergeCell ref="A3:K3"/>
    <mergeCell ref="A9:K9"/>
  </mergeCells>
  <pageMargins left="0.75" right="0.75" top="1" bottom="1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FAC2-F8E8-4158-BB2B-CF0122E0F35D}">
  <dimension ref="A1:P1000"/>
  <sheetViews>
    <sheetView tabSelected="1" topLeftCell="A9" workbookViewId="0">
      <selection activeCell="J32" sqref="J32"/>
    </sheetView>
  </sheetViews>
  <sheetFormatPr defaultColWidth="14.42578125" defaultRowHeight="15" x14ac:dyDescent="0.25"/>
  <cols>
    <col min="1" max="1" width="38" customWidth="1"/>
    <col min="2" max="8" width="16" customWidth="1"/>
    <col min="9" max="9" width="18.7109375" customWidth="1"/>
    <col min="10" max="11" width="16" customWidth="1"/>
    <col min="12" max="12" width="8.7109375" customWidth="1"/>
    <col min="13" max="16" width="12.5703125" bestFit="1" customWidth="1"/>
    <col min="17" max="26" width="8.7109375" customWidth="1"/>
  </cols>
  <sheetData>
    <row r="1" spans="1:16" ht="25.5" customHeight="1" x14ac:dyDescent="0.25">
      <c r="A1" s="73" t="s">
        <v>306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3" spans="1:16" ht="19.5" customHeight="1" x14ac:dyDescent="0.25">
      <c r="A3" s="76" t="s">
        <v>288</v>
      </c>
      <c r="B3" s="74"/>
      <c r="C3" s="74"/>
      <c r="D3" s="74"/>
      <c r="E3" s="74"/>
      <c r="F3" s="74"/>
      <c r="G3" s="74"/>
      <c r="H3" s="74"/>
      <c r="I3" s="74"/>
      <c r="J3" s="74"/>
      <c r="K3" s="75"/>
    </row>
    <row r="4" spans="1:16" x14ac:dyDescent="0.25">
      <c r="A4" s="5" t="s">
        <v>125</v>
      </c>
      <c r="B4" s="5" t="s">
        <v>289</v>
      </c>
      <c r="C4" s="5" t="s">
        <v>290</v>
      </c>
      <c r="D4" s="5" t="s">
        <v>291</v>
      </c>
      <c r="E4" s="5" t="s">
        <v>292</v>
      </c>
      <c r="F4" s="5" t="s">
        <v>293</v>
      </c>
      <c r="G4" s="5" t="s">
        <v>307</v>
      </c>
      <c r="H4" s="5" t="s">
        <v>308</v>
      </c>
      <c r="I4" s="5" t="s">
        <v>309</v>
      </c>
      <c r="J4" s="5" t="s">
        <v>310</v>
      </c>
      <c r="K4" s="5" t="s">
        <v>311</v>
      </c>
    </row>
    <row r="5" spans="1:16" ht="45" x14ac:dyDescent="0.25">
      <c r="A5" s="4" t="s">
        <v>294</v>
      </c>
      <c r="B5" s="19">
        <f>'4. Year 1 Proforma'!$E$18</f>
        <v>414037.5</v>
      </c>
      <c r="C5" s="13">
        <f>B5*(1+'1. Cover &amp; Assumptions'!$B$16)</f>
        <v>455441.25000000006</v>
      </c>
      <c r="D5" s="13">
        <f>C5*(1+'1. Cover &amp; Assumptions'!$B$16)</f>
        <v>500985.37500000012</v>
      </c>
      <c r="E5" s="13">
        <f>D5*(1+'1. Cover &amp; Assumptions'!$B$16)</f>
        <v>551083.91250000021</v>
      </c>
      <c r="F5" s="13">
        <f>E5*(1+'1. Cover &amp; Assumptions'!$B$16)</f>
        <v>606192.30375000031</v>
      </c>
      <c r="G5" s="13">
        <f>F5*(1+'1. Cover &amp; Assumptions'!$B$16)</f>
        <v>666811.53412500035</v>
      </c>
      <c r="H5" s="13">
        <f>G5*(1+'1. Cover &amp; Assumptions'!$B$16)</f>
        <v>733492.6875375004</v>
      </c>
      <c r="I5" s="13">
        <f>H5*(1+'1. Cover &amp; Assumptions'!$B$16)</f>
        <v>806841.95629125054</v>
      </c>
      <c r="J5" s="13">
        <f>I5*(1+'1. Cover &amp; Assumptions'!$B$16)</f>
        <v>887526.15192037565</v>
      </c>
      <c r="K5" s="13">
        <f>J5*(1+'1. Cover &amp; Assumptions'!$B$16)</f>
        <v>976278.7671124133</v>
      </c>
    </row>
    <row r="6" spans="1:16" x14ac:dyDescent="0.25">
      <c r="A6" s="4" t="s">
        <v>295</v>
      </c>
      <c r="B6" s="19"/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</row>
    <row r="7" spans="1:16" x14ac:dyDescent="0.25">
      <c r="A7" s="3" t="s">
        <v>192</v>
      </c>
      <c r="B7" s="27">
        <f>SUM(B5:B6)</f>
        <v>414037.5</v>
      </c>
      <c r="C7" s="27">
        <f>SUM(C5:C6)</f>
        <v>455441.25000000006</v>
      </c>
      <c r="D7" s="27">
        <f t="shared" ref="B7:K7" si="0">SUM(D5:D6)</f>
        <v>500985.37500000012</v>
      </c>
      <c r="E7" s="27">
        <f t="shared" si="0"/>
        <v>551083.91250000021</v>
      </c>
      <c r="F7" s="27">
        <f t="shared" si="0"/>
        <v>606192.30375000031</v>
      </c>
      <c r="G7" s="27">
        <f t="shared" si="0"/>
        <v>666811.53412500035</v>
      </c>
      <c r="H7" s="27">
        <f t="shared" si="0"/>
        <v>733492.6875375004</v>
      </c>
      <c r="I7" s="27">
        <f t="shared" si="0"/>
        <v>806841.95629125054</v>
      </c>
      <c r="J7" s="27">
        <f t="shared" si="0"/>
        <v>887526.15192037565</v>
      </c>
      <c r="K7" s="27">
        <f t="shared" si="0"/>
        <v>976278.7671124133</v>
      </c>
    </row>
    <row r="9" spans="1:16" ht="19.5" customHeight="1" x14ac:dyDescent="0.25">
      <c r="A9" s="77" t="s">
        <v>296</v>
      </c>
      <c r="B9" s="74"/>
      <c r="C9" s="74"/>
      <c r="D9" s="74"/>
      <c r="E9" s="74"/>
      <c r="F9" s="74"/>
      <c r="G9" s="74"/>
      <c r="H9" s="74"/>
      <c r="I9" s="74"/>
      <c r="J9" s="74"/>
      <c r="K9" s="75"/>
    </row>
    <row r="10" spans="1:16" x14ac:dyDescent="0.25">
      <c r="A10" s="5" t="s">
        <v>125</v>
      </c>
      <c r="B10" s="5" t="s">
        <v>289</v>
      </c>
      <c r="C10" s="5" t="s">
        <v>290</v>
      </c>
      <c r="D10" s="5" t="s">
        <v>291</v>
      </c>
      <c r="E10" s="5" t="s">
        <v>292</v>
      </c>
      <c r="F10" s="5" t="s">
        <v>293</v>
      </c>
      <c r="G10" s="5" t="s">
        <v>307</v>
      </c>
      <c r="H10" s="5" t="s">
        <v>308</v>
      </c>
      <c r="I10" s="5" t="s">
        <v>309</v>
      </c>
      <c r="J10" s="5" t="s">
        <v>310</v>
      </c>
      <c r="K10" s="5" t="s">
        <v>311</v>
      </c>
    </row>
    <row r="11" spans="1:16" ht="30" x14ac:dyDescent="0.25">
      <c r="A11" s="4" t="s">
        <v>297</v>
      </c>
      <c r="B11" s="19">
        <f>'4. Year 1 Proforma'!$E$30</f>
        <v>99800</v>
      </c>
      <c r="C11" s="13">
        <f>B11*(1+'1. Cover &amp; Assumptions'!$B$17)</f>
        <v>103792</v>
      </c>
      <c r="D11" s="13">
        <f>C11*(1+'1. Cover &amp; Assumptions'!$B$17)</f>
        <v>107943.68000000001</v>
      </c>
      <c r="E11" s="13">
        <f>D11*(1+'1. Cover &amp; Assumptions'!$B$17)</f>
        <v>112261.42720000001</v>
      </c>
      <c r="F11" s="13">
        <f>E11*(1+'1. Cover &amp; Assumptions'!$B$17)</f>
        <v>116751.88428800002</v>
      </c>
      <c r="G11" s="13">
        <f>F11*(1+'1. Cover &amp; Assumptions'!$B$17)</f>
        <v>121421.95965952003</v>
      </c>
      <c r="H11" s="13">
        <f>G11*(1+'1. Cover &amp; Assumptions'!$B$17)</f>
        <v>126278.83804590083</v>
      </c>
      <c r="I11" s="13">
        <f>H11*(1+'1. Cover &amp; Assumptions'!$B$17)</f>
        <v>131329.99156773687</v>
      </c>
      <c r="J11" s="13">
        <f>I11*(1+'1. Cover &amp; Assumptions'!$B$17)</f>
        <v>136583.19123044636</v>
      </c>
      <c r="K11" s="13">
        <f>J11*(1+'1. Cover &amp; Assumptions'!$B$17)</f>
        <v>142046.51887966422</v>
      </c>
      <c r="M11" s="48">
        <f>B11*1.04</f>
        <v>103792</v>
      </c>
      <c r="N11" s="48">
        <f>C11*1.04</f>
        <v>107943.68000000001</v>
      </c>
      <c r="O11" s="48">
        <f t="shared" ref="O11:P15" si="1">D11*1.04</f>
        <v>112261.42720000001</v>
      </c>
      <c r="P11" s="48">
        <f t="shared" si="1"/>
        <v>116751.88428800002</v>
      </c>
    </row>
    <row r="12" spans="1:16" x14ac:dyDescent="0.25">
      <c r="A12" s="4" t="s">
        <v>298</v>
      </c>
      <c r="B12" s="19">
        <f>'4. Year 1 Proforma'!$E$44</f>
        <v>287970</v>
      </c>
      <c r="C12" s="13">
        <f>B12*(1+'1. Cover &amp; Assumptions'!$B$17)</f>
        <v>299488.8</v>
      </c>
      <c r="D12" s="13">
        <f>C12*(1+'1. Cover &amp; Assumptions'!$B$17)</f>
        <v>311468.35200000001</v>
      </c>
      <c r="E12" s="13">
        <f>D12*(1+'1. Cover &amp; Assumptions'!$B$17)</f>
        <v>323927.08608000004</v>
      </c>
      <c r="F12" s="13">
        <f>E12*(1+'1. Cover &amp; Assumptions'!$B$17)</f>
        <v>336884.16952320008</v>
      </c>
      <c r="G12" s="13">
        <f>F12*(1+'1. Cover &amp; Assumptions'!$B$17)</f>
        <v>350359.53630412807</v>
      </c>
      <c r="H12" s="13">
        <f>G12*(1+'1. Cover &amp; Assumptions'!$B$17)</f>
        <v>364373.9177562932</v>
      </c>
      <c r="I12" s="13">
        <f>H12*(1+'1. Cover &amp; Assumptions'!$B$17)</f>
        <v>378948.87446654495</v>
      </c>
      <c r="J12" s="13">
        <f>I12*(1+'1. Cover &amp; Assumptions'!$B$17)</f>
        <v>394106.82944520673</v>
      </c>
      <c r="K12" s="13">
        <f>J12*(1+'1. Cover &amp; Assumptions'!$B$17)</f>
        <v>409871.102623015</v>
      </c>
      <c r="M12" s="48">
        <f t="shared" ref="M12:N14" si="2">B12*1.04</f>
        <v>299488.8</v>
      </c>
      <c r="N12" s="48">
        <f t="shared" si="2"/>
        <v>311468.35200000001</v>
      </c>
      <c r="O12" s="48">
        <f t="shared" si="1"/>
        <v>323927.08608000004</v>
      </c>
      <c r="P12" s="48">
        <f t="shared" si="1"/>
        <v>336884.16952320008</v>
      </c>
    </row>
    <row r="13" spans="1:16" x14ac:dyDescent="0.25">
      <c r="A13" s="4" t="s">
        <v>299</v>
      </c>
      <c r="B13" s="19">
        <f>'4. Year 1 Proforma'!$E$51</f>
        <v>31500</v>
      </c>
      <c r="C13" s="13">
        <f>B13*(1+'1. Cover &amp; Assumptions'!$B$17)</f>
        <v>32760</v>
      </c>
      <c r="D13" s="13">
        <f>C13*(1+'1. Cover &amp; Assumptions'!$B$17)</f>
        <v>34070.400000000001</v>
      </c>
      <c r="E13" s="13">
        <f>D13*(1+'1. Cover &amp; Assumptions'!$B$17)</f>
        <v>35433.216</v>
      </c>
      <c r="F13" s="13">
        <f>E13*(1+'1. Cover &amp; Assumptions'!$B$17)</f>
        <v>36850.54464</v>
      </c>
      <c r="G13" s="13">
        <f>F13*(1+'1. Cover &amp; Assumptions'!$B$17)</f>
        <v>38324.566425600002</v>
      </c>
      <c r="H13" s="13">
        <f>G13*(1+'1. Cover &amp; Assumptions'!$B$17)</f>
        <v>39857.549082624006</v>
      </c>
      <c r="I13" s="13">
        <f>H13*(1+'1. Cover &amp; Assumptions'!$B$17)</f>
        <v>41451.851045928968</v>
      </c>
      <c r="J13" s="13">
        <f>I13*(1+'1. Cover &amp; Assumptions'!$B$17)</f>
        <v>43109.925087766125</v>
      </c>
      <c r="K13" s="13">
        <f>J13*(1+'1. Cover &amp; Assumptions'!$B$17)</f>
        <v>44834.322091276772</v>
      </c>
      <c r="M13" s="48">
        <f t="shared" si="2"/>
        <v>32760</v>
      </c>
      <c r="N13" s="48">
        <f t="shared" si="2"/>
        <v>34070.400000000001</v>
      </c>
      <c r="O13" s="48">
        <f t="shared" si="1"/>
        <v>35433.216</v>
      </c>
      <c r="P13" s="48">
        <f t="shared" si="1"/>
        <v>36850.54464</v>
      </c>
    </row>
    <row r="14" spans="1:16" x14ac:dyDescent="0.25">
      <c r="A14" s="4" t="s">
        <v>300</v>
      </c>
      <c r="B14" s="19">
        <f>'4. Year 1 Proforma'!$E$83</f>
        <v>282381.625</v>
      </c>
      <c r="C14" s="13">
        <f>B14*(1+'1. Cover &amp; Assumptions'!$B$17)</f>
        <v>293676.89</v>
      </c>
      <c r="D14" s="13">
        <f>C14*(1+'1. Cover &amp; Assumptions'!$B$17)</f>
        <v>305423.9656</v>
      </c>
      <c r="E14" s="13">
        <f>D14*(1+'1. Cover &amp; Assumptions'!$B$17)</f>
        <v>317640.92422400002</v>
      </c>
      <c r="F14" s="13">
        <f>E14*(1+'1. Cover &amp; Assumptions'!$B$17)</f>
        <v>330346.56119296001</v>
      </c>
      <c r="G14" s="13">
        <f>F14*(1+'1. Cover &amp; Assumptions'!$B$17)</f>
        <v>343560.4236406784</v>
      </c>
      <c r="H14" s="13">
        <f>G14*(1+'1. Cover &amp; Assumptions'!$B$17)</f>
        <v>357302.84058630554</v>
      </c>
      <c r="I14" s="13">
        <f>H14*(1+'1. Cover &amp; Assumptions'!$B$17)</f>
        <v>371594.95420975779</v>
      </c>
      <c r="J14" s="13">
        <f>I14*(1+'1. Cover &amp; Assumptions'!$B$17)</f>
        <v>386458.75237814814</v>
      </c>
      <c r="K14" s="13">
        <f>J14*(1+'1. Cover &amp; Assumptions'!$B$17)</f>
        <v>401917.10247327411</v>
      </c>
      <c r="M14" s="48">
        <f t="shared" si="2"/>
        <v>293676.89</v>
      </c>
      <c r="N14" s="48">
        <f t="shared" si="2"/>
        <v>305423.9656</v>
      </c>
      <c r="O14" s="48">
        <f t="shared" si="1"/>
        <v>317640.92422400002</v>
      </c>
      <c r="P14" s="48">
        <f t="shared" si="1"/>
        <v>330346.56119296001</v>
      </c>
    </row>
    <row r="15" spans="1:16" x14ac:dyDescent="0.25">
      <c r="A15" s="3" t="s">
        <v>284</v>
      </c>
      <c r="B15" s="28">
        <f>SUM(B11:B14)</f>
        <v>701651.625</v>
      </c>
      <c r="C15" s="28">
        <f>SUM(C11:C14)</f>
        <v>729717.69</v>
      </c>
      <c r="D15" s="28">
        <f t="shared" ref="D15:K15" si="3">SUM(D11:D14)</f>
        <v>758906.39760000003</v>
      </c>
      <c r="E15" s="28">
        <f t="shared" si="3"/>
        <v>789262.65350400005</v>
      </c>
      <c r="F15" s="28">
        <f t="shared" si="3"/>
        <v>820833.15964416007</v>
      </c>
      <c r="G15" s="28">
        <f t="shared" si="3"/>
        <v>853666.48602992645</v>
      </c>
      <c r="H15" s="28">
        <f t="shared" si="3"/>
        <v>887813.14547112351</v>
      </c>
      <c r="I15" s="28">
        <f t="shared" si="3"/>
        <v>923325.67128996854</v>
      </c>
      <c r="J15" s="28">
        <f t="shared" si="3"/>
        <v>960258.69814156741</v>
      </c>
      <c r="K15" s="28">
        <f t="shared" si="3"/>
        <v>998669.04606723005</v>
      </c>
      <c r="M15" s="48">
        <f>B15*1.04</f>
        <v>729717.69000000006</v>
      </c>
      <c r="N15" s="48">
        <f>C15*1.04</f>
        <v>758906.39760000003</v>
      </c>
      <c r="O15" s="48">
        <f t="shared" si="1"/>
        <v>789262.65350400005</v>
      </c>
      <c r="P15" s="48">
        <f t="shared" si="1"/>
        <v>820833.15964416007</v>
      </c>
    </row>
    <row r="17" spans="1:11" ht="15.75" thickBot="1" x14ac:dyDescent="0.3">
      <c r="A17" s="20" t="s">
        <v>301</v>
      </c>
      <c r="B17" s="29">
        <f t="shared" ref="B17:K17" si="4">B7-B15</f>
        <v>-287614.125</v>
      </c>
      <c r="C17" s="29">
        <f t="shared" si="4"/>
        <v>-274276.43999999989</v>
      </c>
      <c r="D17" s="29">
        <f t="shared" si="4"/>
        <v>-257921.02259999991</v>
      </c>
      <c r="E17" s="29">
        <f t="shared" si="4"/>
        <v>-238178.74100399984</v>
      </c>
      <c r="F17" s="29">
        <f t="shared" si="4"/>
        <v>-214640.85589415976</v>
      </c>
      <c r="G17" s="29">
        <f t="shared" si="4"/>
        <v>-186854.9519049261</v>
      </c>
      <c r="H17" s="29">
        <f t="shared" si="4"/>
        <v>-154320.45793362311</v>
      </c>
      <c r="I17" s="29">
        <f t="shared" si="4"/>
        <v>-116483.714998718</v>
      </c>
      <c r="J17" s="29">
        <f t="shared" si="4"/>
        <v>-72732.546221191762</v>
      </c>
      <c r="K17" s="29">
        <f t="shared" si="4"/>
        <v>-22390.278954816749</v>
      </c>
    </row>
    <row r="18" spans="1:11" ht="15.75" thickTop="1" x14ac:dyDescent="0.25">
      <c r="A18" s="3" t="s">
        <v>286</v>
      </c>
      <c r="B18" s="26">
        <f t="shared" ref="B18:K18" si="5">B17/B7</f>
        <v>-0.69465718684901734</v>
      </c>
      <c r="C18" s="26">
        <f t="shared" si="5"/>
        <v>-0.60222134029361607</v>
      </c>
      <c r="D18" s="26">
        <f t="shared" si="5"/>
        <v>-0.51482744900487332</v>
      </c>
      <c r="E18" s="26">
        <f t="shared" si="5"/>
        <v>-0.43220049724097098</v>
      </c>
      <c r="F18" s="26">
        <f t="shared" si="5"/>
        <v>-0.35408047011873606</v>
      </c>
      <c r="G18" s="26">
        <f t="shared" si="5"/>
        <v>-0.28022153538498679</v>
      </c>
      <c r="H18" s="26">
        <f t="shared" si="5"/>
        <v>-0.21039126981853293</v>
      </c>
      <c r="I18" s="26">
        <f t="shared" si="5"/>
        <v>-0.14436992782843111</v>
      </c>
      <c r="J18" s="26">
        <f t="shared" si="5"/>
        <v>-8.1949749946880396E-2</v>
      </c>
      <c r="K18" s="26">
        <f t="shared" si="5"/>
        <v>-2.2934309040686766E-2</v>
      </c>
    </row>
    <row r="19" spans="1:11" x14ac:dyDescent="0.25">
      <c r="A19" s="30" t="s">
        <v>302</v>
      </c>
      <c r="B19" s="31">
        <f>B17</f>
        <v>-287614.125</v>
      </c>
      <c r="C19" s="31">
        <f t="shared" ref="C19:K19" si="6">B19+C17</f>
        <v>-561890.56499999994</v>
      </c>
      <c r="D19" s="31">
        <f t="shared" si="6"/>
        <v>-819811.58759999985</v>
      </c>
      <c r="E19" s="31">
        <f t="shared" si="6"/>
        <v>-1057990.3286039997</v>
      </c>
      <c r="F19" s="31">
        <f t="shared" si="6"/>
        <v>-1272631.1844981594</v>
      </c>
      <c r="G19" s="31">
        <f t="shared" si="6"/>
        <v>-1459486.1364030857</v>
      </c>
      <c r="H19" s="31">
        <f t="shared" si="6"/>
        <v>-1613806.5943367088</v>
      </c>
      <c r="I19" s="31">
        <f t="shared" si="6"/>
        <v>-1730290.3093354269</v>
      </c>
      <c r="J19" s="31">
        <f t="shared" si="6"/>
        <v>-1803022.8555566187</v>
      </c>
      <c r="K19" s="31">
        <f t="shared" si="6"/>
        <v>-1825413.1345114354</v>
      </c>
    </row>
    <row r="21" spans="1:11" ht="15.75" customHeight="1" x14ac:dyDescent="0.25">
      <c r="A21" s="2" t="s">
        <v>303</v>
      </c>
    </row>
    <row r="22" spans="1:11" ht="15.75" customHeight="1" x14ac:dyDescent="0.25">
      <c r="A22" s="4" t="s">
        <v>304</v>
      </c>
      <c r="B22" s="19">
        <f>'3. Rose Stadium Detail'!$E$18</f>
        <v>21180</v>
      </c>
      <c r="C22" s="13">
        <f>B22*(1+'1. Cover &amp; Assumptions'!$B$17)</f>
        <v>22027.200000000001</v>
      </c>
      <c r="D22" s="13">
        <f>C22*(1+'1. Cover &amp; Assumptions'!$B$17)</f>
        <v>22908.288</v>
      </c>
      <c r="E22" s="13">
        <f>D22*(1+'1. Cover &amp; Assumptions'!$B$17)</f>
        <v>23824.61952</v>
      </c>
      <c r="F22" s="13">
        <f>E22*(1+'1. Cover &amp; Assumptions'!$B$17)</f>
        <v>24777.604300800002</v>
      </c>
      <c r="G22" s="13">
        <f>F22*(1+'1. Cover &amp; Assumptions'!$B$17)</f>
        <v>25768.708472832004</v>
      </c>
      <c r="H22" s="13">
        <f>G22*(1+'1. Cover &amp; Assumptions'!$B$17)</f>
        <v>26799.456811745284</v>
      </c>
      <c r="I22" s="13">
        <f>H22*(1+'1. Cover &amp; Assumptions'!$B$17)</f>
        <v>27871.435084215096</v>
      </c>
      <c r="J22" s="13">
        <f>I22*(1+'1. Cover &amp; Assumptions'!$B$17)</f>
        <v>28986.292487583702</v>
      </c>
      <c r="K22" s="13">
        <f>J22*(1+'1. Cover &amp; Assumptions'!$B$17)</f>
        <v>30145.74418708705</v>
      </c>
    </row>
    <row r="23" spans="1:11" ht="15.75" customHeight="1" x14ac:dyDescent="0.25">
      <c r="A23" s="4" t="s">
        <v>305</v>
      </c>
      <c r="B23" s="19">
        <f>'1. Cover &amp; Assumptions'!$B$22</f>
        <v>50000</v>
      </c>
      <c r="C23" s="19">
        <f>'1. Cover &amp; Assumptions'!$B$22</f>
        <v>50000</v>
      </c>
      <c r="D23" s="19">
        <f>'1. Cover &amp; Assumptions'!$B$22</f>
        <v>50000</v>
      </c>
      <c r="E23" s="19">
        <f>'1. Cover &amp; Assumptions'!$B$22</f>
        <v>50000</v>
      </c>
      <c r="F23" s="19">
        <f>'1. Cover &amp; Assumptions'!$B$22</f>
        <v>50000</v>
      </c>
      <c r="G23" s="19">
        <f>'1. Cover &amp; Assumptions'!$B$22</f>
        <v>50000</v>
      </c>
      <c r="H23" s="19">
        <f>'1. Cover &amp; Assumptions'!$B$22</f>
        <v>50000</v>
      </c>
      <c r="I23" s="19">
        <f>'1. Cover &amp; Assumptions'!$B$22</f>
        <v>50000</v>
      </c>
      <c r="J23" s="19">
        <f>'1. Cover &amp; Assumptions'!$B$22</f>
        <v>50000</v>
      </c>
      <c r="K23" s="19">
        <f>'1. Cover &amp; Assumptions'!$B$22</f>
        <v>50000</v>
      </c>
    </row>
    <row r="24" spans="1:11" ht="15.75" customHeight="1" thickBot="1" x14ac:dyDescent="0.3"/>
    <row r="25" spans="1:11" ht="15.75" customHeight="1" x14ac:dyDescent="0.25">
      <c r="A25" s="50"/>
      <c r="B25" s="51"/>
      <c r="C25" s="51"/>
      <c r="D25" s="51"/>
      <c r="E25" s="51"/>
      <c r="F25" s="51"/>
      <c r="G25" s="52" t="s">
        <v>521</v>
      </c>
      <c r="H25" s="53">
        <v>9.35E-2</v>
      </c>
      <c r="I25" s="54" t="s">
        <v>522</v>
      </c>
    </row>
    <row r="26" spans="1:11" ht="15.75" customHeight="1" x14ac:dyDescent="0.25">
      <c r="A26" s="55" t="s">
        <v>512</v>
      </c>
      <c r="B26" s="56" t="s">
        <v>513</v>
      </c>
      <c r="C26" s="56" t="s">
        <v>514</v>
      </c>
      <c r="D26" s="56" t="s">
        <v>515</v>
      </c>
      <c r="E26" s="56" t="s">
        <v>516</v>
      </c>
      <c r="F26" s="56" t="s">
        <v>517</v>
      </c>
      <c r="G26" s="56" t="s">
        <v>518</v>
      </c>
      <c r="H26" s="56" t="s">
        <v>519</v>
      </c>
      <c r="I26" s="57" t="s">
        <v>520</v>
      </c>
    </row>
    <row r="27" spans="1:11" ht="15.75" customHeight="1" x14ac:dyDescent="0.25">
      <c r="A27" s="58">
        <v>0</v>
      </c>
      <c r="B27" s="59">
        <f>-'2. Initial Investment'!D23</f>
        <v>-416000</v>
      </c>
      <c r="C27" s="59">
        <f>'2. Initial Investment'!B32</f>
        <v>580000</v>
      </c>
      <c r="D27" s="60"/>
      <c r="E27" s="60"/>
      <c r="F27" s="61">
        <f>SUM(B27:E27)</f>
        <v>164000</v>
      </c>
      <c r="G27" s="61">
        <f>F27</f>
        <v>164000</v>
      </c>
      <c r="H27" s="61">
        <f>F27/(1+$H$25)^A27</f>
        <v>164000</v>
      </c>
      <c r="I27" s="62">
        <f>H27</f>
        <v>164000</v>
      </c>
    </row>
    <row r="28" spans="1:11" ht="15.75" customHeight="1" x14ac:dyDescent="0.25">
      <c r="A28" s="58">
        <v>1</v>
      </c>
      <c r="B28" s="60"/>
      <c r="C28" s="60"/>
      <c r="D28" s="63">
        <f>B7</f>
        <v>414037.5</v>
      </c>
      <c r="E28" s="63">
        <f>-B15</f>
        <v>-701651.625</v>
      </c>
      <c r="F28" s="61">
        <f>SUM(B28:E28)</f>
        <v>-287614.125</v>
      </c>
      <c r="G28" s="61">
        <f>G27+F28</f>
        <v>-123614.125</v>
      </c>
      <c r="H28" s="61">
        <f>F28/(1+$H$25)^A28</f>
        <v>-263021.60493827163</v>
      </c>
      <c r="I28" s="62">
        <f>I27+H28</f>
        <v>-99021.60493827163</v>
      </c>
    </row>
    <row r="29" spans="1:11" ht="15.75" customHeight="1" x14ac:dyDescent="0.25">
      <c r="A29" s="58">
        <v>2</v>
      </c>
      <c r="B29" s="60"/>
      <c r="C29" s="60"/>
      <c r="D29" s="63">
        <f t="shared" ref="D29:D36" si="7">($D$37-$D$28)/9+D28</f>
        <v>506366.66666666669</v>
      </c>
      <c r="E29" s="63">
        <f>-C15</f>
        <v>-729717.69</v>
      </c>
      <c r="F29" s="61">
        <f>SUM(B29:E29)</f>
        <v>-223351.02333333326</v>
      </c>
      <c r="G29" s="61">
        <f>G28+F29</f>
        <v>-346965.14833333326</v>
      </c>
      <c r="H29" s="61">
        <f>F29/(1+$H$25)^A29</f>
        <v>-186788.60208655609</v>
      </c>
      <c r="I29" s="62">
        <f>I28+H29</f>
        <v>-285810.20702482772</v>
      </c>
    </row>
    <row r="30" spans="1:11" ht="15.75" customHeight="1" x14ac:dyDescent="0.25">
      <c r="A30" s="58">
        <v>3</v>
      </c>
      <c r="B30" s="60"/>
      <c r="C30" s="60"/>
      <c r="D30" s="63">
        <f t="shared" si="7"/>
        <v>598695.83333333337</v>
      </c>
      <c r="E30" s="63">
        <f>-D15</f>
        <v>-758906.39760000003</v>
      </c>
      <c r="F30" s="61">
        <f>SUM(B30:E30)</f>
        <v>-160210.56426666665</v>
      </c>
      <c r="G30" s="61">
        <f>G29+F30</f>
        <v>-507175.71259999991</v>
      </c>
      <c r="H30" s="61">
        <f>F30/(1+$H$25)^A30</f>
        <v>-122527.84291889396</v>
      </c>
      <c r="I30" s="62">
        <f t="shared" ref="I29:I37" si="8">I29+H30</f>
        <v>-408338.04994372168</v>
      </c>
    </row>
    <row r="31" spans="1:11" ht="15.75" customHeight="1" x14ac:dyDescent="0.25">
      <c r="A31" s="58">
        <v>4</v>
      </c>
      <c r="B31" s="60"/>
      <c r="C31" s="60"/>
      <c r="D31" s="63">
        <f t="shared" si="7"/>
        <v>691025</v>
      </c>
      <c r="E31" s="63">
        <f>-E15</f>
        <v>-789262.65350400005</v>
      </c>
      <c r="F31" s="61">
        <f>SUM(B31:E31)</f>
        <v>-98237.653504000045</v>
      </c>
      <c r="G31" s="61">
        <f t="shared" ref="G31:G35" si="9">G30+F31</f>
        <v>-605413.36610400002</v>
      </c>
      <c r="H31" s="61">
        <f t="shared" ref="H28:H37" si="10">F31/(1+$H$25)^A31</f>
        <v>-68707.291861763792</v>
      </c>
      <c r="I31" s="62">
        <f t="shared" si="8"/>
        <v>-477045.34180548548</v>
      </c>
    </row>
    <row r="32" spans="1:11" ht="15.75" customHeight="1" x14ac:dyDescent="0.25">
      <c r="A32" s="58">
        <v>5</v>
      </c>
      <c r="B32" s="60"/>
      <c r="C32" s="60"/>
      <c r="D32" s="63">
        <f t="shared" si="7"/>
        <v>783354.16666666663</v>
      </c>
      <c r="E32" s="63">
        <f>-F15</f>
        <v>-820833.15964416007</v>
      </c>
      <c r="F32" s="61">
        <f t="shared" ref="F32:F37" si="11">SUM(B32:E32)</f>
        <v>-37478.992977493443</v>
      </c>
      <c r="G32" s="61">
        <f t="shared" si="9"/>
        <v>-642892.35908149346</v>
      </c>
      <c r="H32" s="61">
        <f t="shared" si="10"/>
        <v>-23971.431881758315</v>
      </c>
      <c r="I32" s="62">
        <f t="shared" si="8"/>
        <v>-501016.77368724381</v>
      </c>
      <c r="J32" s="47"/>
    </row>
    <row r="33" spans="1:10" ht="15.75" customHeight="1" x14ac:dyDescent="0.25">
      <c r="A33" s="58">
        <v>6</v>
      </c>
      <c r="B33" s="60"/>
      <c r="C33" s="60"/>
      <c r="D33" s="63">
        <f t="shared" si="7"/>
        <v>875683.33333333326</v>
      </c>
      <c r="E33" s="63">
        <f>-G15</f>
        <v>-853666.48602992645</v>
      </c>
      <c r="F33" s="61">
        <f>SUM(B33:E33)</f>
        <v>22016.847303406801</v>
      </c>
      <c r="G33" s="61">
        <f t="shared" si="9"/>
        <v>-620875.51177808666</v>
      </c>
      <c r="H33" s="61">
        <f t="shared" si="10"/>
        <v>12877.821652368246</v>
      </c>
      <c r="I33" s="62">
        <f t="shared" si="8"/>
        <v>-488138.95203487558</v>
      </c>
      <c r="J33" s="47"/>
    </row>
    <row r="34" spans="1:10" ht="15.75" customHeight="1" x14ac:dyDescent="0.25">
      <c r="A34" s="58">
        <v>7</v>
      </c>
      <c r="B34" s="60"/>
      <c r="C34" s="60"/>
      <c r="D34" s="63">
        <f t="shared" si="7"/>
        <v>968012.49999999988</v>
      </c>
      <c r="E34" s="63">
        <f>-H15</f>
        <v>-887813.14547112351</v>
      </c>
      <c r="F34" s="61">
        <f t="shared" si="11"/>
        <v>80199.354528876371</v>
      </c>
      <c r="G34" s="61">
        <f t="shared" si="9"/>
        <v>-540676.15724921029</v>
      </c>
      <c r="H34" s="61">
        <f t="shared" si="10"/>
        <v>42898.228811176879</v>
      </c>
      <c r="I34" s="62">
        <f t="shared" si="8"/>
        <v>-445240.72322369867</v>
      </c>
    </row>
    <row r="35" spans="1:10" ht="15.75" customHeight="1" x14ac:dyDescent="0.25">
      <c r="A35" s="58">
        <v>8</v>
      </c>
      <c r="B35" s="60"/>
      <c r="C35" s="60"/>
      <c r="D35" s="63">
        <f t="shared" si="7"/>
        <v>1060341.6666666665</v>
      </c>
      <c r="E35" s="63">
        <f>-I15</f>
        <v>-923325.67128996854</v>
      </c>
      <c r="F35" s="61">
        <f t="shared" si="11"/>
        <v>137015.99537669797</v>
      </c>
      <c r="G35" s="61">
        <f t="shared" si="9"/>
        <v>-403660.16187251231</v>
      </c>
      <c r="H35" s="61">
        <f>F35/(1+$H$25)^A35</f>
        <v>67022.553658135919</v>
      </c>
      <c r="I35" s="62">
        <f t="shared" si="8"/>
        <v>-378218.16956556274</v>
      </c>
    </row>
    <row r="36" spans="1:10" ht="15.75" customHeight="1" x14ac:dyDescent="0.25">
      <c r="A36" s="58">
        <v>9</v>
      </c>
      <c r="B36" s="60"/>
      <c r="C36" s="60"/>
      <c r="D36" s="63">
        <f t="shared" si="7"/>
        <v>1152670.8333333333</v>
      </c>
      <c r="E36" s="63">
        <f>-J15</f>
        <v>-960258.69814156741</v>
      </c>
      <c r="F36" s="61">
        <f t="shared" si="11"/>
        <v>192412.13519176585</v>
      </c>
      <c r="G36" s="64">
        <f>G35+F36</f>
        <v>-211248.02668074646</v>
      </c>
      <c r="H36" s="61">
        <f t="shared" si="10"/>
        <v>86072.292943202687</v>
      </c>
      <c r="I36" s="62">
        <f t="shared" si="8"/>
        <v>-292145.87662236008</v>
      </c>
      <c r="J36" s="47"/>
    </row>
    <row r="37" spans="1:10" ht="15.75" customHeight="1" x14ac:dyDescent="0.25">
      <c r="A37" s="58">
        <v>10</v>
      </c>
      <c r="B37" s="60"/>
      <c r="C37" s="60"/>
      <c r="D37" s="63">
        <v>1245000</v>
      </c>
      <c r="E37" s="63">
        <f>-K15</f>
        <v>-998669.04606723005</v>
      </c>
      <c r="F37" s="61">
        <f t="shared" si="11"/>
        <v>246330.95393276995</v>
      </c>
      <c r="G37" s="64">
        <f>G36+F37</f>
        <v>35082.927252023481</v>
      </c>
      <c r="H37" s="61">
        <f t="shared" si="10"/>
        <v>100769.96667765456</v>
      </c>
      <c r="I37" s="62">
        <f t="shared" si="8"/>
        <v>-191375.90994470552</v>
      </c>
      <c r="J37" s="49" t="s">
        <v>526</v>
      </c>
    </row>
    <row r="38" spans="1:10" ht="15.75" customHeight="1" x14ac:dyDescent="0.25">
      <c r="A38" s="58"/>
      <c r="B38" s="60"/>
      <c r="C38" s="60"/>
      <c r="D38" s="60"/>
      <c r="E38" s="60"/>
      <c r="F38" s="60"/>
      <c r="G38" s="60"/>
      <c r="H38" s="60"/>
      <c r="I38" s="65"/>
    </row>
    <row r="39" spans="1:10" ht="15.75" customHeight="1" x14ac:dyDescent="0.25">
      <c r="A39" s="58"/>
      <c r="B39" s="60"/>
      <c r="C39" s="60"/>
      <c r="D39" s="60"/>
      <c r="E39" s="60"/>
      <c r="F39" s="60"/>
      <c r="G39" s="66" t="s">
        <v>523</v>
      </c>
      <c r="H39" s="61">
        <f>SUM(H27:H37)</f>
        <v>-191375.90994470552</v>
      </c>
      <c r="I39" s="65"/>
    </row>
    <row r="40" spans="1:10" ht="15.75" customHeight="1" x14ac:dyDescent="0.25">
      <c r="A40" s="58"/>
      <c r="B40" s="60"/>
      <c r="C40" s="60"/>
      <c r="D40" s="60"/>
      <c r="E40" s="60"/>
      <c r="F40" s="60"/>
      <c r="G40" s="66" t="s">
        <v>524</v>
      </c>
      <c r="H40" s="61">
        <f>F27+NPV(H25,F28:F37)</f>
        <v>-191375.90994470543</v>
      </c>
      <c r="I40" s="65"/>
    </row>
    <row r="41" spans="1:10" ht="15.75" customHeight="1" x14ac:dyDescent="0.25">
      <c r="A41" s="58"/>
      <c r="B41" s="60"/>
      <c r="C41" s="60"/>
      <c r="D41" s="60"/>
      <c r="E41" s="60"/>
      <c r="F41" s="60"/>
      <c r="G41" s="66" t="s">
        <v>525</v>
      </c>
      <c r="H41" s="67">
        <f>IRR(F27:F37)</f>
        <v>8.8508777770897051E-3</v>
      </c>
      <c r="I41" s="65"/>
    </row>
    <row r="42" spans="1:10" ht="15.75" customHeight="1" thickBot="1" x14ac:dyDescent="0.3">
      <c r="A42" s="68"/>
      <c r="B42" s="69"/>
      <c r="C42" s="69"/>
      <c r="D42" s="69"/>
      <c r="E42" s="69"/>
      <c r="F42" s="69"/>
      <c r="G42" s="70" t="s">
        <v>527</v>
      </c>
      <c r="H42" s="71">
        <f>MIRR(F27:F37,H25,H25)</f>
        <v>5.7013280403299893E-2</v>
      </c>
      <c r="I42" s="72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K1"/>
    <mergeCell ref="A3:K3"/>
    <mergeCell ref="A9:K9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9C3C-7FA3-49EF-8D34-4C365D57B6C9}">
  <dimension ref="L121:M123"/>
  <sheetViews>
    <sheetView topLeftCell="A94" workbookViewId="0">
      <selection activeCell="M124" sqref="M124"/>
    </sheetView>
  </sheetViews>
  <sheetFormatPr defaultRowHeight="15" x14ac:dyDescent="0.25"/>
  <cols>
    <col min="12" max="12" width="15.28515625" bestFit="1" customWidth="1"/>
    <col min="13" max="13" width="14.28515625" bestFit="1" customWidth="1"/>
  </cols>
  <sheetData>
    <row r="121" spans="12:13" x14ac:dyDescent="0.25">
      <c r="L121" s="48"/>
    </row>
    <row r="123" spans="12:13" x14ac:dyDescent="0.25">
      <c r="L123" s="48"/>
      <c r="M123" s="4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showGridLines="0" topLeftCell="A15" workbookViewId="0">
      <selection activeCell="D16" sqref="D16"/>
    </sheetView>
  </sheetViews>
  <sheetFormatPr defaultColWidth="14.42578125" defaultRowHeight="15" customHeight="1" x14ac:dyDescent="0.25"/>
  <cols>
    <col min="1" max="1" width="32" customWidth="1"/>
    <col min="2" max="2" width="18" customWidth="1"/>
    <col min="3" max="3" width="14" customWidth="1"/>
    <col min="4" max="5" width="16" customWidth="1"/>
    <col min="6" max="6" width="40" customWidth="1"/>
    <col min="7" max="26" width="8.7109375" customWidth="1"/>
  </cols>
  <sheetData>
    <row r="1" spans="1:6" ht="25.5" customHeight="1" x14ac:dyDescent="0.25">
      <c r="A1" s="73" t="s">
        <v>312</v>
      </c>
      <c r="B1" s="74"/>
      <c r="C1" s="74"/>
      <c r="D1" s="74"/>
      <c r="E1" s="74"/>
      <c r="F1" s="75"/>
    </row>
    <row r="3" spans="1:6" x14ac:dyDescent="0.25">
      <c r="A3" s="2" t="s">
        <v>313</v>
      </c>
    </row>
    <row r="5" spans="1:6" ht="19.5" customHeight="1" x14ac:dyDescent="0.25">
      <c r="A5" s="79" t="s">
        <v>314</v>
      </c>
      <c r="B5" s="74"/>
      <c r="C5" s="74"/>
      <c r="D5" s="74"/>
      <c r="E5" s="74"/>
      <c r="F5" s="75"/>
    </row>
    <row r="6" spans="1:6" x14ac:dyDescent="0.25">
      <c r="A6" s="5" t="s">
        <v>315</v>
      </c>
      <c r="B6" s="5" t="s">
        <v>316</v>
      </c>
      <c r="C6" s="5" t="s">
        <v>317</v>
      </c>
      <c r="D6" s="5" t="s">
        <v>318</v>
      </c>
      <c r="E6" s="5" t="s">
        <v>319</v>
      </c>
      <c r="F6" s="5" t="s">
        <v>320</v>
      </c>
    </row>
    <row r="7" spans="1:6" ht="30" x14ac:dyDescent="0.25">
      <c r="A7" s="4" t="s">
        <v>321</v>
      </c>
      <c r="B7" s="12">
        <v>75000</v>
      </c>
      <c r="C7" s="18">
        <v>1</v>
      </c>
      <c r="D7" s="13">
        <f t="shared" ref="D7:D12" si="0">B7*C7</f>
        <v>75000</v>
      </c>
      <c r="E7" s="13">
        <f>D7</f>
        <v>75000</v>
      </c>
      <c r="F7" s="8" t="s">
        <v>322</v>
      </c>
    </row>
    <row r="8" spans="1:6" ht="24" x14ac:dyDescent="0.25">
      <c r="A8" s="4" t="s">
        <v>323</v>
      </c>
      <c r="B8" s="12">
        <v>25000</v>
      </c>
      <c r="C8" s="18">
        <v>4</v>
      </c>
      <c r="D8" s="13">
        <f t="shared" si="0"/>
        <v>100000</v>
      </c>
      <c r="E8" s="13">
        <f t="shared" ref="E8:E12" si="1">E7+D8</f>
        <v>175000</v>
      </c>
      <c r="F8" s="8" t="s">
        <v>324</v>
      </c>
    </row>
    <row r="9" spans="1:6" ht="24" x14ac:dyDescent="0.25">
      <c r="A9" s="4" t="s">
        <v>325</v>
      </c>
      <c r="B9" s="12">
        <v>10000</v>
      </c>
      <c r="C9" s="18">
        <v>8</v>
      </c>
      <c r="D9" s="13">
        <f t="shared" si="0"/>
        <v>80000</v>
      </c>
      <c r="E9" s="13">
        <f t="shared" si="1"/>
        <v>255000</v>
      </c>
      <c r="F9" s="8" t="s">
        <v>326</v>
      </c>
    </row>
    <row r="10" spans="1:6" x14ac:dyDescent="0.25">
      <c r="A10" s="4" t="s">
        <v>327</v>
      </c>
      <c r="B10" s="12">
        <v>5000</v>
      </c>
      <c r="C10" s="18">
        <v>15</v>
      </c>
      <c r="D10" s="13">
        <f t="shared" si="0"/>
        <v>75000</v>
      </c>
      <c r="E10" s="13">
        <f t="shared" si="1"/>
        <v>330000</v>
      </c>
      <c r="F10" s="8" t="s">
        <v>328</v>
      </c>
    </row>
    <row r="11" spans="1:6" x14ac:dyDescent="0.25">
      <c r="A11" s="4" t="s">
        <v>329</v>
      </c>
      <c r="B11" s="12">
        <v>2500</v>
      </c>
      <c r="C11" s="18">
        <v>25</v>
      </c>
      <c r="D11" s="13">
        <f t="shared" si="0"/>
        <v>62500</v>
      </c>
      <c r="E11" s="13">
        <f t="shared" si="1"/>
        <v>392500</v>
      </c>
      <c r="F11" s="8" t="s">
        <v>330</v>
      </c>
    </row>
    <row r="12" spans="1:6" x14ac:dyDescent="0.25">
      <c r="A12" s="4" t="s">
        <v>331</v>
      </c>
      <c r="B12" s="12">
        <v>1000</v>
      </c>
      <c r="C12" s="18">
        <v>40</v>
      </c>
      <c r="D12" s="13">
        <f t="shared" si="0"/>
        <v>40000</v>
      </c>
      <c r="E12" s="13">
        <f t="shared" si="1"/>
        <v>432500</v>
      </c>
      <c r="F12" s="8" t="s">
        <v>332</v>
      </c>
    </row>
    <row r="13" spans="1:6" x14ac:dyDescent="0.25">
      <c r="A13" s="3" t="s">
        <v>333</v>
      </c>
      <c r="D13" s="32">
        <f>SUM(D7:D12)</f>
        <v>432500</v>
      </c>
    </row>
    <row r="14" spans="1:6" x14ac:dyDescent="0.25">
      <c r="A14" s="33" t="s">
        <v>334</v>
      </c>
      <c r="D14" s="34">
        <f>-D13*0.2</f>
        <v>-86500</v>
      </c>
    </row>
    <row r="15" spans="1:6" x14ac:dyDescent="0.25">
      <c r="A15" s="3" t="s">
        <v>335</v>
      </c>
      <c r="D15" s="35">
        <f>D13+D14</f>
        <v>346000</v>
      </c>
    </row>
    <row r="18" spans="1:6" ht="19.5" customHeight="1" x14ac:dyDescent="0.25">
      <c r="A18" s="79" t="s">
        <v>336</v>
      </c>
      <c r="B18" s="74"/>
      <c r="C18" s="74"/>
      <c r="D18" s="74"/>
      <c r="E18" s="74"/>
      <c r="F18" s="75"/>
    </row>
    <row r="19" spans="1:6" ht="15" customHeight="1" x14ac:dyDescent="0.25">
      <c r="A19" s="3" t="s">
        <v>337</v>
      </c>
      <c r="B19" s="80" t="s">
        <v>338</v>
      </c>
      <c r="C19" s="81"/>
      <c r="D19" s="81"/>
      <c r="E19" s="81"/>
      <c r="F19" s="81"/>
    </row>
    <row r="20" spans="1:6" ht="15" customHeight="1" x14ac:dyDescent="0.25">
      <c r="A20" s="3" t="s">
        <v>339</v>
      </c>
      <c r="B20" s="80" t="s">
        <v>340</v>
      </c>
      <c r="C20" s="81"/>
      <c r="D20" s="81"/>
      <c r="E20" s="81"/>
      <c r="F20" s="81"/>
    </row>
    <row r="21" spans="1:6" ht="15" customHeight="1" x14ac:dyDescent="0.25">
      <c r="A21" s="3" t="s">
        <v>341</v>
      </c>
      <c r="B21" s="80" t="s">
        <v>342</v>
      </c>
      <c r="C21" s="81"/>
      <c r="D21" s="81"/>
      <c r="E21" s="81"/>
      <c r="F21" s="81"/>
    </row>
    <row r="22" spans="1:6" ht="15" customHeight="1" x14ac:dyDescent="0.25">
      <c r="A22" s="3" t="s">
        <v>343</v>
      </c>
      <c r="B22" s="80" t="s">
        <v>344</v>
      </c>
      <c r="C22" s="81"/>
      <c r="D22" s="81"/>
      <c r="E22" s="81"/>
      <c r="F22" s="81"/>
    </row>
    <row r="23" spans="1:6" ht="15" customHeight="1" x14ac:dyDescent="0.25">
      <c r="A23" s="3" t="s">
        <v>345</v>
      </c>
      <c r="B23" s="80" t="s">
        <v>346</v>
      </c>
      <c r="C23" s="81"/>
      <c r="D23" s="81"/>
      <c r="E23" s="81"/>
      <c r="F23" s="81"/>
    </row>
    <row r="24" spans="1:6" ht="15" customHeight="1" x14ac:dyDescent="0.25">
      <c r="A24" s="3" t="s">
        <v>347</v>
      </c>
      <c r="B24" s="80" t="s">
        <v>348</v>
      </c>
      <c r="C24" s="81"/>
      <c r="D24" s="81"/>
      <c r="E24" s="81"/>
      <c r="F24" s="81"/>
    </row>
    <row r="25" spans="1:6" ht="15" customHeight="1" x14ac:dyDescent="0.25">
      <c r="A25" s="3" t="s">
        <v>349</v>
      </c>
      <c r="B25" s="80" t="s">
        <v>350</v>
      </c>
      <c r="C25" s="81"/>
      <c r="D25" s="81"/>
      <c r="E25" s="81"/>
      <c r="F25" s="81"/>
    </row>
    <row r="26" spans="1:6" ht="23.25" customHeight="1" x14ac:dyDescent="0.25">
      <c r="A26" s="3" t="s">
        <v>351</v>
      </c>
      <c r="B26" s="80" t="s">
        <v>352</v>
      </c>
      <c r="C26" s="81"/>
      <c r="D26" s="81"/>
      <c r="E26" s="81"/>
      <c r="F26" s="81"/>
    </row>
    <row r="27" spans="1:6" ht="15" customHeight="1" x14ac:dyDescent="0.25">
      <c r="A27" s="3" t="s">
        <v>353</v>
      </c>
      <c r="B27" s="80" t="s">
        <v>354</v>
      </c>
      <c r="C27" s="81"/>
      <c r="D27" s="81"/>
      <c r="E27" s="81"/>
      <c r="F27" s="81"/>
    </row>
    <row r="28" spans="1:6" ht="15" customHeight="1" x14ac:dyDescent="0.25">
      <c r="A28" s="3" t="s">
        <v>355</v>
      </c>
      <c r="B28" s="80" t="s">
        <v>356</v>
      </c>
      <c r="C28" s="81"/>
      <c r="D28" s="81"/>
      <c r="E28" s="81"/>
      <c r="F28" s="81"/>
    </row>
    <row r="29" spans="1:6" ht="15.75" customHeight="1" x14ac:dyDescent="0.25"/>
    <row r="30" spans="1:6" ht="15.75" customHeight="1" x14ac:dyDescent="0.25"/>
    <row r="31" spans="1:6" ht="19.5" customHeight="1" x14ac:dyDescent="0.25">
      <c r="A31" s="79" t="s">
        <v>357</v>
      </c>
      <c r="B31" s="74"/>
      <c r="C31" s="74"/>
      <c r="D31" s="74"/>
      <c r="E31" s="74"/>
      <c r="F31" s="75"/>
    </row>
    <row r="32" spans="1:6" ht="15.75" customHeight="1" x14ac:dyDescent="0.25">
      <c r="A32" s="5" t="s">
        <v>358</v>
      </c>
      <c r="B32" s="5" t="s">
        <v>359</v>
      </c>
      <c r="C32" s="5" t="s">
        <v>360</v>
      </c>
      <c r="D32" s="5"/>
      <c r="E32" s="5"/>
      <c r="F32" s="5"/>
    </row>
    <row r="33" spans="1:6" ht="15" customHeight="1" x14ac:dyDescent="0.25">
      <c r="A33" s="4" t="s">
        <v>361</v>
      </c>
      <c r="B33" s="7" t="s">
        <v>362</v>
      </c>
      <c r="C33" s="82" t="s">
        <v>363</v>
      </c>
      <c r="D33" s="81"/>
      <c r="E33" s="81"/>
      <c r="F33" s="81"/>
    </row>
    <row r="34" spans="1:6" ht="15" customHeight="1" x14ac:dyDescent="0.25">
      <c r="A34" s="4" t="s">
        <v>364</v>
      </c>
      <c r="B34" s="7" t="s">
        <v>323</v>
      </c>
      <c r="C34" s="82" t="s">
        <v>365</v>
      </c>
      <c r="D34" s="81"/>
      <c r="E34" s="81"/>
      <c r="F34" s="81"/>
    </row>
    <row r="35" spans="1:6" ht="15" customHeight="1" x14ac:dyDescent="0.25">
      <c r="A35" s="4" t="s">
        <v>366</v>
      </c>
      <c r="B35" s="7" t="s">
        <v>323</v>
      </c>
      <c r="C35" s="82" t="s">
        <v>367</v>
      </c>
      <c r="D35" s="81"/>
      <c r="E35" s="81"/>
      <c r="F35" s="81"/>
    </row>
    <row r="36" spans="1:6" ht="15" customHeight="1" x14ac:dyDescent="0.25">
      <c r="A36" s="4" t="s">
        <v>368</v>
      </c>
      <c r="B36" s="7" t="s">
        <v>323</v>
      </c>
      <c r="C36" s="82" t="s">
        <v>369</v>
      </c>
      <c r="D36" s="81"/>
      <c r="E36" s="81"/>
      <c r="F36" s="81"/>
    </row>
    <row r="37" spans="1:6" ht="15" customHeight="1" x14ac:dyDescent="0.25">
      <c r="A37" s="4" t="s">
        <v>370</v>
      </c>
      <c r="B37" s="7" t="s">
        <v>325</v>
      </c>
      <c r="C37" s="82" t="s">
        <v>371</v>
      </c>
      <c r="D37" s="81"/>
      <c r="E37" s="81"/>
      <c r="F37" s="81"/>
    </row>
    <row r="38" spans="1:6" ht="15" customHeight="1" x14ac:dyDescent="0.25">
      <c r="A38" s="4" t="s">
        <v>372</v>
      </c>
      <c r="B38" s="7" t="s">
        <v>325</v>
      </c>
      <c r="C38" s="82" t="s">
        <v>373</v>
      </c>
      <c r="D38" s="81"/>
      <c r="E38" s="81"/>
      <c r="F38" s="81"/>
    </row>
    <row r="39" spans="1:6" ht="15" customHeight="1" x14ac:dyDescent="0.25">
      <c r="A39" s="4" t="s">
        <v>374</v>
      </c>
      <c r="B39" s="7" t="s">
        <v>327</v>
      </c>
      <c r="C39" s="82" t="s">
        <v>375</v>
      </c>
      <c r="D39" s="81"/>
      <c r="E39" s="81"/>
      <c r="F39" s="81"/>
    </row>
    <row r="40" spans="1:6" ht="15" customHeight="1" x14ac:dyDescent="0.25">
      <c r="A40" s="4" t="s">
        <v>376</v>
      </c>
      <c r="B40" s="7" t="s">
        <v>327</v>
      </c>
      <c r="C40" s="82" t="s">
        <v>377</v>
      </c>
      <c r="D40" s="81"/>
      <c r="E40" s="81"/>
      <c r="F40" s="81"/>
    </row>
    <row r="41" spans="1:6" ht="15" customHeight="1" x14ac:dyDescent="0.25">
      <c r="A41" s="4" t="s">
        <v>378</v>
      </c>
      <c r="B41" s="7" t="s">
        <v>329</v>
      </c>
      <c r="C41" s="82" t="s">
        <v>379</v>
      </c>
      <c r="D41" s="81"/>
      <c r="E41" s="81"/>
      <c r="F41" s="81"/>
    </row>
    <row r="42" spans="1:6" ht="15" customHeight="1" x14ac:dyDescent="0.25">
      <c r="A42" s="4" t="s">
        <v>380</v>
      </c>
      <c r="B42" s="7" t="s">
        <v>381</v>
      </c>
      <c r="C42" s="82" t="s">
        <v>382</v>
      </c>
      <c r="D42" s="81"/>
      <c r="E42" s="81"/>
      <c r="F42" s="81"/>
    </row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F1"/>
    <mergeCell ref="A5:F5"/>
    <mergeCell ref="A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A31:F31"/>
    <mergeCell ref="C40:F40"/>
    <mergeCell ref="C41:F41"/>
    <mergeCell ref="C42:F42"/>
    <mergeCell ref="C33:F33"/>
    <mergeCell ref="C34:F34"/>
    <mergeCell ref="C35:F35"/>
    <mergeCell ref="C36:F36"/>
    <mergeCell ref="C37:F37"/>
    <mergeCell ref="C38:F38"/>
    <mergeCell ref="C39:F39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showGridLines="0" workbookViewId="0">
      <selection activeCell="B20" sqref="B20"/>
    </sheetView>
  </sheetViews>
  <sheetFormatPr defaultColWidth="14.42578125" defaultRowHeight="15" customHeight="1" x14ac:dyDescent="0.25"/>
  <cols>
    <col min="1" max="1" width="28" customWidth="1"/>
    <col min="2" max="4" width="18" customWidth="1"/>
    <col min="5" max="5" width="40" customWidth="1"/>
    <col min="6" max="26" width="8.7109375" customWidth="1"/>
  </cols>
  <sheetData>
    <row r="1" spans="1:5" ht="25.5" customHeight="1" x14ac:dyDescent="0.25">
      <c r="A1" s="73" t="s">
        <v>383</v>
      </c>
      <c r="B1" s="74"/>
      <c r="C1" s="74"/>
      <c r="D1" s="74"/>
      <c r="E1" s="75"/>
    </row>
    <row r="3" spans="1:5" ht="19.5" customHeight="1" x14ac:dyDescent="0.25">
      <c r="A3" s="79" t="s">
        <v>384</v>
      </c>
      <c r="B3" s="74"/>
      <c r="C3" s="74"/>
      <c r="D3" s="74"/>
      <c r="E3" s="75"/>
    </row>
    <row r="4" spans="1:5" ht="25.5" x14ac:dyDescent="0.25">
      <c r="A4" s="5" t="s">
        <v>385</v>
      </c>
      <c r="B4" s="5" t="s">
        <v>386</v>
      </c>
      <c r="C4" s="5" t="s">
        <v>387</v>
      </c>
      <c r="D4" s="5" t="s">
        <v>388</v>
      </c>
      <c r="E4" s="5" t="s">
        <v>389</v>
      </c>
    </row>
    <row r="5" spans="1:5" x14ac:dyDescent="0.25">
      <c r="A5" s="4" t="s">
        <v>390</v>
      </c>
      <c r="B5" s="18">
        <v>245000</v>
      </c>
      <c r="C5" s="7" t="s">
        <v>391</v>
      </c>
      <c r="D5" s="23">
        <v>1.2E-2</v>
      </c>
      <c r="E5" s="36">
        <f t="shared" ref="E5:E14" si="0">B5*D5</f>
        <v>2940</v>
      </c>
    </row>
    <row r="6" spans="1:5" x14ac:dyDescent="0.25">
      <c r="A6" s="4" t="s">
        <v>392</v>
      </c>
      <c r="B6" s="18">
        <v>108000</v>
      </c>
      <c r="C6" s="7" t="s">
        <v>391</v>
      </c>
      <c r="D6" s="23">
        <v>0.02</v>
      </c>
      <c r="E6" s="36">
        <f t="shared" si="0"/>
        <v>2160</v>
      </c>
    </row>
    <row r="7" spans="1:5" x14ac:dyDescent="0.25">
      <c r="A7" s="4" t="s">
        <v>393</v>
      </c>
      <c r="B7" s="18">
        <v>125000</v>
      </c>
      <c r="C7" s="7" t="s">
        <v>394</v>
      </c>
      <c r="D7" s="23">
        <v>5.0000000000000001E-3</v>
      </c>
      <c r="E7" s="36">
        <f t="shared" si="0"/>
        <v>625</v>
      </c>
    </row>
    <row r="8" spans="1:5" x14ac:dyDescent="0.25">
      <c r="A8" s="4" t="s">
        <v>395</v>
      </c>
      <c r="B8" s="18">
        <v>85000</v>
      </c>
      <c r="C8" s="7" t="s">
        <v>396</v>
      </c>
      <c r="D8" s="23">
        <v>4.0000000000000001E-3</v>
      </c>
      <c r="E8" s="36">
        <f t="shared" si="0"/>
        <v>340</v>
      </c>
    </row>
    <row r="9" spans="1:5" x14ac:dyDescent="0.25">
      <c r="A9" s="4" t="s">
        <v>397</v>
      </c>
      <c r="B9" s="18">
        <v>50000</v>
      </c>
      <c r="C9" s="7" t="s">
        <v>396</v>
      </c>
      <c r="D9" s="23">
        <v>4.0000000000000001E-3</v>
      </c>
      <c r="E9" s="36">
        <f t="shared" si="0"/>
        <v>200</v>
      </c>
    </row>
    <row r="10" spans="1:5" x14ac:dyDescent="0.25">
      <c r="A10" s="4" t="s">
        <v>398</v>
      </c>
      <c r="B10" s="18">
        <v>60000</v>
      </c>
      <c r="C10" s="7" t="s">
        <v>394</v>
      </c>
      <c r="D10" s="23">
        <v>3.0000000000000001E-3</v>
      </c>
      <c r="E10" s="36">
        <f t="shared" si="0"/>
        <v>180</v>
      </c>
    </row>
    <row r="11" spans="1:5" x14ac:dyDescent="0.25">
      <c r="A11" s="4" t="s">
        <v>399</v>
      </c>
      <c r="B11" s="18">
        <v>52000</v>
      </c>
      <c r="C11" s="7" t="s">
        <v>400</v>
      </c>
      <c r="D11" s="23">
        <v>3.0000000000000001E-3</v>
      </c>
      <c r="E11" s="36">
        <f t="shared" si="0"/>
        <v>156</v>
      </c>
    </row>
    <row r="12" spans="1:5" x14ac:dyDescent="0.25">
      <c r="A12" s="4" t="s">
        <v>401</v>
      </c>
      <c r="B12" s="18">
        <v>46000</v>
      </c>
      <c r="C12" s="7" t="s">
        <v>396</v>
      </c>
      <c r="D12" s="23">
        <v>3.0000000000000001E-3</v>
      </c>
      <c r="E12" s="36">
        <f t="shared" si="0"/>
        <v>138</v>
      </c>
    </row>
    <row r="13" spans="1:5" x14ac:dyDescent="0.25">
      <c r="A13" s="4" t="s">
        <v>402</v>
      </c>
      <c r="B13" s="18">
        <v>58000</v>
      </c>
      <c r="C13" s="7" t="s">
        <v>394</v>
      </c>
      <c r="D13" s="23">
        <v>3.0000000000000001E-3</v>
      </c>
      <c r="E13" s="36">
        <f t="shared" si="0"/>
        <v>174</v>
      </c>
    </row>
    <row r="14" spans="1:5" x14ac:dyDescent="0.25">
      <c r="A14" s="4" t="s">
        <v>403</v>
      </c>
      <c r="B14" s="18">
        <v>41000</v>
      </c>
      <c r="C14" s="7" t="s">
        <v>400</v>
      </c>
      <c r="D14" s="23">
        <v>3.0000000000000001E-3</v>
      </c>
      <c r="E14" s="36">
        <f t="shared" si="0"/>
        <v>123</v>
      </c>
    </row>
    <row r="15" spans="1:5" x14ac:dyDescent="0.25">
      <c r="A15" s="3" t="s">
        <v>404</v>
      </c>
      <c r="B15" s="37">
        <f>SUM(B5:B14)-B6</f>
        <v>762000</v>
      </c>
      <c r="E15" s="37">
        <f>SUM(E5:E14)-E6</f>
        <v>4876</v>
      </c>
    </row>
    <row r="17" spans="1:5" x14ac:dyDescent="0.25">
      <c r="A17" s="3" t="s">
        <v>405</v>
      </c>
      <c r="B17" s="38">
        <f>'1. Cover &amp; Assumptions'!$B$21</f>
        <v>1875</v>
      </c>
    </row>
    <row r="18" spans="1:5" x14ac:dyDescent="0.25">
      <c r="A18" s="3" t="s">
        <v>31</v>
      </c>
      <c r="B18" s="38">
        <f>'1. Cover &amp; Assumptions'!$B$20</f>
        <v>10566</v>
      </c>
    </row>
    <row r="19" spans="1:5" x14ac:dyDescent="0.25">
      <c r="A19" s="3" t="s">
        <v>406</v>
      </c>
      <c r="B19" s="39">
        <f>'1. Cover &amp; Assumptions'!$B$21/'1. Cover &amp; Assumptions'!$B$20</f>
        <v>0.17745599091425326</v>
      </c>
    </row>
    <row r="21" spans="1:5" ht="19.5" customHeight="1" x14ac:dyDescent="0.25">
      <c r="A21" s="79" t="s">
        <v>407</v>
      </c>
      <c r="B21" s="74"/>
      <c r="C21" s="74"/>
      <c r="D21" s="74"/>
      <c r="E21" s="75"/>
    </row>
    <row r="22" spans="1:5" ht="15.75" customHeight="1" x14ac:dyDescent="0.25">
      <c r="A22" s="5" t="s">
        <v>408</v>
      </c>
      <c r="B22" s="5" t="s">
        <v>409</v>
      </c>
      <c r="C22" s="5" t="s">
        <v>410</v>
      </c>
      <c r="D22" s="5" t="s">
        <v>411</v>
      </c>
      <c r="E22" s="5"/>
    </row>
    <row r="23" spans="1:5" ht="15.75" customHeight="1" x14ac:dyDescent="0.25">
      <c r="A23" s="4" t="s">
        <v>289</v>
      </c>
      <c r="B23" s="38">
        <f>'1. Cover &amp; Assumptions'!$B$21</f>
        <v>1875</v>
      </c>
      <c r="C23" s="40">
        <f>B23/'1. Cover &amp; Assumptions'!$B$20</f>
        <v>0.17745599091425326</v>
      </c>
      <c r="D23" s="41" t="str">
        <f>IF(B23&lt;'1. Cover &amp; Assumptions'!$B$20,"Yes","NO")</f>
        <v>Yes</v>
      </c>
    </row>
    <row r="24" spans="1:5" ht="15.75" customHeight="1" x14ac:dyDescent="0.25">
      <c r="A24" s="4" t="s">
        <v>290</v>
      </c>
      <c r="B24" s="36">
        <f>B23*(1+'1. Cover &amp; Assumptions'!$B$16)</f>
        <v>2062.5</v>
      </c>
      <c r="C24" s="40">
        <f>B24/'1. Cover &amp; Assumptions'!$B$20</f>
        <v>0.1952015900056786</v>
      </c>
      <c r="D24" s="41" t="str">
        <f>IF(B24&lt;'1. Cover &amp; Assumptions'!$B$20,"Yes","NO")</f>
        <v>Yes</v>
      </c>
    </row>
    <row r="25" spans="1:5" ht="15.75" customHeight="1" x14ac:dyDescent="0.25">
      <c r="A25" s="4" t="s">
        <v>291</v>
      </c>
      <c r="B25" s="36">
        <f>B24*(1+'1. Cover &amp; Assumptions'!$B$16)</f>
        <v>2268.75</v>
      </c>
      <c r="C25" s="40">
        <f>B25/'1. Cover &amp; Assumptions'!$B$20</f>
        <v>0.21472174900624644</v>
      </c>
      <c r="D25" s="41" t="str">
        <f>IF(B25&lt;'1. Cover &amp; Assumptions'!$B$20,"Yes","NO")</f>
        <v>Yes</v>
      </c>
    </row>
    <row r="26" spans="1:5" ht="15.75" customHeight="1" x14ac:dyDescent="0.25">
      <c r="A26" s="4" t="s">
        <v>292</v>
      </c>
      <c r="B26" s="36">
        <f>B25*(1+'1. Cover &amp; Assumptions'!$B$16)</f>
        <v>2495.625</v>
      </c>
      <c r="C26" s="40">
        <f>B26/'1. Cover &amp; Assumptions'!$B$20</f>
        <v>0.23619392390687111</v>
      </c>
      <c r="D26" s="41" t="str">
        <f>IF(B26&lt;'1. Cover &amp; Assumptions'!$B$20,"Yes","NO")</f>
        <v>Yes</v>
      </c>
    </row>
    <row r="27" spans="1:5" ht="15.75" customHeight="1" x14ac:dyDescent="0.25">
      <c r="A27" s="4" t="s">
        <v>293</v>
      </c>
      <c r="B27" s="36">
        <f>B26*(1+'1. Cover &amp; Assumptions'!$B$16)</f>
        <v>2745.1875</v>
      </c>
      <c r="C27" s="40">
        <f>B27/'1. Cover &amp; Assumptions'!$B$20</f>
        <v>0.25981331629755822</v>
      </c>
      <c r="D27" s="41" t="str">
        <f>IF(B27&lt;'1. Cover &amp; Assumptions'!$B$20,"Yes","NO")</f>
        <v>Yes</v>
      </c>
    </row>
    <row r="28" spans="1:5" ht="15.75" customHeight="1" x14ac:dyDescent="0.25">
      <c r="A28" s="4" t="s">
        <v>307</v>
      </c>
      <c r="B28" s="36">
        <f>B27*(1+'1. Cover &amp; Assumptions'!$B$16)</f>
        <v>3019.7062500000002</v>
      </c>
      <c r="C28" s="40">
        <f>B28/'1. Cover &amp; Assumptions'!$B$20</f>
        <v>0.28579464792731402</v>
      </c>
      <c r="D28" s="41" t="str">
        <f>IF(B28&lt;'1. Cover &amp; Assumptions'!$B$20,"Yes","NO")</f>
        <v>Yes</v>
      </c>
    </row>
    <row r="29" spans="1:5" ht="15.75" customHeight="1" x14ac:dyDescent="0.25">
      <c r="A29" s="4" t="s">
        <v>308</v>
      </c>
      <c r="B29" s="36">
        <f>B28*(1+'1. Cover &amp; Assumptions'!$B$16)</f>
        <v>3321.6768750000006</v>
      </c>
      <c r="C29" s="40">
        <f>B29/'1. Cover &amp; Assumptions'!$B$20</f>
        <v>0.31437411272004551</v>
      </c>
      <c r="D29" s="41" t="str">
        <f>IF(B29&lt;'1. Cover &amp; Assumptions'!$B$20,"Yes","NO")</f>
        <v>Yes</v>
      </c>
    </row>
    <row r="30" spans="1:5" ht="15.75" customHeight="1" x14ac:dyDescent="0.25">
      <c r="A30" s="4" t="s">
        <v>309</v>
      </c>
      <c r="B30" s="36">
        <f>B29*(1+'1. Cover &amp; Assumptions'!$B$16)</f>
        <v>3653.8445625000008</v>
      </c>
      <c r="C30" s="40">
        <f>B30/'1. Cover &amp; Assumptions'!$B$20</f>
        <v>0.34581152399205006</v>
      </c>
      <c r="D30" s="41" t="str">
        <f>IF(B30&lt;'1. Cover &amp; Assumptions'!$B$20,"Yes","NO")</f>
        <v>Yes</v>
      </c>
    </row>
    <row r="31" spans="1:5" ht="15.75" customHeight="1" x14ac:dyDescent="0.25">
      <c r="A31" s="4" t="s">
        <v>310</v>
      </c>
      <c r="B31" s="36">
        <f>B30*(1+'1. Cover &amp; Assumptions'!$B$16)</f>
        <v>4019.2290187500012</v>
      </c>
      <c r="C31" s="40">
        <f>B31/'1. Cover &amp; Assumptions'!$B$20</f>
        <v>0.38039267639125507</v>
      </c>
      <c r="D31" s="41" t="str">
        <f>IF(B31&lt;'1. Cover &amp; Assumptions'!$B$20,"Yes","NO")</f>
        <v>Yes</v>
      </c>
    </row>
    <row r="32" spans="1:5" ht="15.75" customHeight="1" x14ac:dyDescent="0.25">
      <c r="A32" s="4" t="s">
        <v>311</v>
      </c>
      <c r="B32" s="36">
        <f>B31*(1+'1. Cover &amp; Assumptions'!$B$16)</f>
        <v>4421.1519206250014</v>
      </c>
      <c r="C32" s="40">
        <f>B32/'1. Cover &amp; Assumptions'!$B$20</f>
        <v>0.41843194403038059</v>
      </c>
      <c r="D32" s="41" t="str">
        <f>IF(B32&lt;'1. Cover &amp; Assumptions'!$B$20,"Yes","NO")</f>
        <v>Yes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E1"/>
    <mergeCell ref="A3:E3"/>
    <mergeCell ref="A21:E21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showGridLines="0" topLeftCell="A18" workbookViewId="0">
      <selection sqref="A1:C1"/>
    </sheetView>
  </sheetViews>
  <sheetFormatPr defaultColWidth="14.42578125" defaultRowHeight="15" customHeight="1" x14ac:dyDescent="0.25"/>
  <cols>
    <col min="1" max="1" width="42" customWidth="1"/>
    <col min="2" max="2" width="14" customWidth="1"/>
    <col min="3" max="3" width="50" customWidth="1"/>
    <col min="4" max="26" width="8.7109375" customWidth="1"/>
  </cols>
  <sheetData>
    <row r="1" spans="1:3" ht="25.5" customHeight="1" x14ac:dyDescent="0.25">
      <c r="A1" s="73" t="s">
        <v>412</v>
      </c>
      <c r="B1" s="74"/>
      <c r="C1" s="75"/>
    </row>
    <row r="3" spans="1:3" x14ac:dyDescent="0.25">
      <c r="A3" s="2" t="s">
        <v>413</v>
      </c>
    </row>
    <row r="5" spans="1:3" x14ac:dyDescent="0.25">
      <c r="A5" s="5" t="s">
        <v>414</v>
      </c>
      <c r="B5" s="5" t="s">
        <v>415</v>
      </c>
      <c r="C5" s="5" t="s">
        <v>416</v>
      </c>
    </row>
    <row r="6" spans="1:3" x14ac:dyDescent="0.25">
      <c r="A6" s="4" t="s">
        <v>417</v>
      </c>
      <c r="B6" s="12">
        <v>50000</v>
      </c>
      <c r="C6" s="8" t="s">
        <v>418</v>
      </c>
    </row>
    <row r="7" spans="1:3" x14ac:dyDescent="0.25">
      <c r="A7" s="4" t="s">
        <v>419</v>
      </c>
      <c r="B7" s="12">
        <v>7500</v>
      </c>
      <c r="C7" s="8" t="s">
        <v>420</v>
      </c>
    </row>
    <row r="8" spans="1:3" x14ac:dyDescent="0.25">
      <c r="A8" s="4" t="s">
        <v>421</v>
      </c>
      <c r="B8" s="12">
        <v>9000</v>
      </c>
      <c r="C8" s="8" t="s">
        <v>422</v>
      </c>
    </row>
    <row r="9" spans="1:3" x14ac:dyDescent="0.25">
      <c r="A9" s="4" t="s">
        <v>423</v>
      </c>
      <c r="B9" s="12">
        <v>18000</v>
      </c>
      <c r="C9" s="8" t="s">
        <v>424</v>
      </c>
    </row>
    <row r="10" spans="1:3" x14ac:dyDescent="0.25">
      <c r="A10" s="4" t="s">
        <v>425</v>
      </c>
      <c r="B10" s="12">
        <v>22000</v>
      </c>
      <c r="C10" s="8" t="s">
        <v>426</v>
      </c>
    </row>
    <row r="11" spans="1:3" x14ac:dyDescent="0.25">
      <c r="A11" s="4" t="s">
        <v>427</v>
      </c>
      <c r="B11" s="12">
        <v>5000</v>
      </c>
      <c r="C11" s="8" t="s">
        <v>428</v>
      </c>
    </row>
    <row r="12" spans="1:3" x14ac:dyDescent="0.25">
      <c r="A12" s="4" t="s">
        <v>429</v>
      </c>
      <c r="B12" s="12">
        <v>24000</v>
      </c>
      <c r="C12" s="8" t="s">
        <v>430</v>
      </c>
    </row>
    <row r="13" spans="1:3" x14ac:dyDescent="0.25">
      <c r="A13" s="4" t="s">
        <v>431</v>
      </c>
      <c r="B13" s="12">
        <v>6000</v>
      </c>
      <c r="C13" s="8" t="s">
        <v>432</v>
      </c>
    </row>
    <row r="14" spans="1:3" x14ac:dyDescent="0.25">
      <c r="A14" s="4" t="s">
        <v>433</v>
      </c>
      <c r="B14" s="42" t="s">
        <v>434</v>
      </c>
      <c r="C14" s="8" t="s">
        <v>435</v>
      </c>
    </row>
    <row r="15" spans="1:3" x14ac:dyDescent="0.25">
      <c r="A15" s="4" t="s">
        <v>436</v>
      </c>
      <c r="B15" s="12">
        <v>3000</v>
      </c>
      <c r="C15" s="8" t="s">
        <v>437</v>
      </c>
    </row>
    <row r="16" spans="1:3" x14ac:dyDescent="0.25">
      <c r="A16" s="4" t="s">
        <v>249</v>
      </c>
      <c r="B16" s="12">
        <v>27000</v>
      </c>
      <c r="C16" s="8" t="s">
        <v>438</v>
      </c>
    </row>
    <row r="17" spans="1:3" x14ac:dyDescent="0.25">
      <c r="A17" s="4" t="s">
        <v>439</v>
      </c>
      <c r="B17" s="12">
        <v>5000</v>
      </c>
      <c r="C17" s="8" t="s">
        <v>440</v>
      </c>
    </row>
    <row r="18" spans="1:3" x14ac:dyDescent="0.25">
      <c r="A18" s="4" t="s">
        <v>253</v>
      </c>
      <c r="B18" s="12">
        <v>4500</v>
      </c>
      <c r="C18" s="8" t="s">
        <v>441</v>
      </c>
    </row>
    <row r="19" spans="1:3" x14ac:dyDescent="0.25">
      <c r="A19" s="4" t="s">
        <v>255</v>
      </c>
      <c r="B19" s="12">
        <v>2500</v>
      </c>
      <c r="C19" s="8" t="s">
        <v>442</v>
      </c>
    </row>
    <row r="20" spans="1:3" x14ac:dyDescent="0.25">
      <c r="A20" s="4" t="s">
        <v>443</v>
      </c>
      <c r="B20" s="12">
        <v>3000</v>
      </c>
      <c r="C20" s="8" t="s">
        <v>444</v>
      </c>
    </row>
    <row r="21" spans="1:3" ht="15.75" customHeight="1" x14ac:dyDescent="0.25">
      <c r="A21" s="4" t="s">
        <v>445</v>
      </c>
      <c r="B21" s="12">
        <v>2250</v>
      </c>
      <c r="C21" s="8" t="s">
        <v>446</v>
      </c>
    </row>
    <row r="22" spans="1:3" ht="15.75" customHeight="1" x14ac:dyDescent="0.25">
      <c r="A22" s="4" t="s">
        <v>447</v>
      </c>
      <c r="B22" s="12">
        <v>4500</v>
      </c>
      <c r="C22" s="8" t="s">
        <v>448</v>
      </c>
    </row>
    <row r="23" spans="1:3" ht="15.75" customHeight="1" x14ac:dyDescent="0.25">
      <c r="A23" s="4" t="s">
        <v>449</v>
      </c>
      <c r="B23" s="12">
        <v>600</v>
      </c>
      <c r="C23" s="8" t="s">
        <v>450</v>
      </c>
    </row>
    <row r="24" spans="1:3" ht="15.75" customHeight="1" x14ac:dyDescent="0.25">
      <c r="A24" s="4" t="s">
        <v>264</v>
      </c>
      <c r="B24" s="12">
        <v>18000</v>
      </c>
      <c r="C24" s="8" t="s">
        <v>451</v>
      </c>
    </row>
    <row r="25" spans="1:3" ht="15.75" customHeight="1" x14ac:dyDescent="0.25">
      <c r="A25" s="4" t="s">
        <v>452</v>
      </c>
      <c r="B25" s="12">
        <v>8000</v>
      </c>
      <c r="C25" s="8" t="s">
        <v>453</v>
      </c>
    </row>
    <row r="26" spans="1:3" ht="15.75" customHeight="1" x14ac:dyDescent="0.25">
      <c r="A26" s="4" t="s">
        <v>454</v>
      </c>
      <c r="B26" s="12">
        <v>5000</v>
      </c>
      <c r="C26" s="8" t="s">
        <v>455</v>
      </c>
    </row>
    <row r="27" spans="1:3" ht="15.75" customHeight="1" x14ac:dyDescent="0.25">
      <c r="A27" s="4" t="s">
        <v>456</v>
      </c>
      <c r="B27" s="12">
        <v>6000</v>
      </c>
      <c r="C27" s="8" t="s">
        <v>457</v>
      </c>
    </row>
    <row r="28" spans="1:3" ht="15.75" customHeight="1" x14ac:dyDescent="0.25">
      <c r="A28" s="4" t="s">
        <v>458</v>
      </c>
      <c r="B28" s="12">
        <v>1500</v>
      </c>
      <c r="C28" s="8" t="s">
        <v>459</v>
      </c>
    </row>
    <row r="29" spans="1:3" ht="15.75" customHeight="1" x14ac:dyDescent="0.25">
      <c r="A29" s="4" t="s">
        <v>460</v>
      </c>
      <c r="B29" s="12">
        <v>3000</v>
      </c>
      <c r="C29" s="8" t="s">
        <v>461</v>
      </c>
    </row>
    <row r="30" spans="1:3" ht="15.75" customHeight="1" x14ac:dyDescent="0.25">
      <c r="A30" s="4" t="s">
        <v>276</v>
      </c>
      <c r="B30" s="12">
        <v>14400</v>
      </c>
      <c r="C30" s="8" t="s">
        <v>462</v>
      </c>
    </row>
    <row r="31" spans="1:3" ht="15.75" customHeight="1" x14ac:dyDescent="0.25">
      <c r="A31" s="4" t="s">
        <v>463</v>
      </c>
      <c r="B31" s="12">
        <v>4800</v>
      </c>
      <c r="C31" s="8" t="s">
        <v>464</v>
      </c>
    </row>
    <row r="32" spans="1:3" ht="15.75" customHeight="1" x14ac:dyDescent="0.25">
      <c r="A32" s="4" t="s">
        <v>280</v>
      </c>
      <c r="B32" s="12">
        <v>1800</v>
      </c>
      <c r="C32" s="8" t="s">
        <v>465</v>
      </c>
    </row>
    <row r="33" spans="1:3" ht="15.75" customHeight="1" x14ac:dyDescent="0.25">
      <c r="A33" s="4" t="s">
        <v>282</v>
      </c>
      <c r="B33" s="42" t="s">
        <v>466</v>
      </c>
      <c r="C33" s="8" t="s">
        <v>467</v>
      </c>
    </row>
    <row r="34" spans="1:3" ht="15.75" customHeight="1" x14ac:dyDescent="0.25">
      <c r="A34" s="4" t="s">
        <v>468</v>
      </c>
      <c r="B34" s="12">
        <v>750</v>
      </c>
      <c r="C34" s="8" t="s">
        <v>469</v>
      </c>
    </row>
    <row r="35" spans="1:3" ht="15.75" customHeight="1" x14ac:dyDescent="0.25">
      <c r="A35" s="4" t="s">
        <v>470</v>
      </c>
      <c r="B35" s="12">
        <v>1080</v>
      </c>
      <c r="C35" s="8" t="s">
        <v>471</v>
      </c>
    </row>
    <row r="36" spans="1:3" ht="15.75" customHeight="1" x14ac:dyDescent="0.25">
      <c r="A36" s="4" t="s">
        <v>472</v>
      </c>
      <c r="B36" s="12">
        <v>1800</v>
      </c>
      <c r="C36" s="8" t="s">
        <v>473</v>
      </c>
    </row>
    <row r="37" spans="1:3" ht="15.75" customHeight="1" x14ac:dyDescent="0.25">
      <c r="A37" s="4" t="s">
        <v>474</v>
      </c>
      <c r="B37" s="12">
        <v>2000</v>
      </c>
      <c r="C37" s="8" t="s">
        <v>475</v>
      </c>
    </row>
    <row r="38" spans="1:3" ht="15.75" customHeight="1" x14ac:dyDescent="0.25">
      <c r="A38" s="4" t="s">
        <v>476</v>
      </c>
      <c r="B38" s="12">
        <v>6500</v>
      </c>
      <c r="C38" s="8" t="s">
        <v>477</v>
      </c>
    </row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showGridLines="0" workbookViewId="0">
      <selection sqref="A1:E1"/>
    </sheetView>
  </sheetViews>
  <sheetFormatPr defaultColWidth="14.42578125" defaultRowHeight="15" customHeight="1" x14ac:dyDescent="0.25"/>
  <cols>
    <col min="1" max="1" width="36" customWidth="1"/>
    <col min="2" max="2" width="14" customWidth="1"/>
    <col min="3" max="4" width="18" customWidth="1"/>
    <col min="5" max="5" width="38" customWidth="1"/>
    <col min="6" max="26" width="8.7109375" customWidth="1"/>
  </cols>
  <sheetData>
    <row r="1" spans="1:5" ht="25.5" customHeight="1" x14ac:dyDescent="0.25">
      <c r="A1" s="73" t="s">
        <v>478</v>
      </c>
      <c r="B1" s="74"/>
      <c r="C1" s="74"/>
      <c r="D1" s="74"/>
      <c r="E1" s="75"/>
    </row>
    <row r="3" spans="1:5" ht="19.5" customHeight="1" x14ac:dyDescent="0.25">
      <c r="A3" s="79" t="s">
        <v>479</v>
      </c>
      <c r="B3" s="74"/>
      <c r="C3" s="74"/>
      <c r="D3" s="74"/>
      <c r="E3" s="75"/>
    </row>
    <row r="4" spans="1:5" x14ac:dyDescent="0.25">
      <c r="A4" s="5" t="s">
        <v>153</v>
      </c>
      <c r="B4" s="5" t="s">
        <v>154</v>
      </c>
      <c r="C4" s="5" t="s">
        <v>480</v>
      </c>
      <c r="D4" s="5" t="s">
        <v>481</v>
      </c>
      <c r="E4" s="5" t="s">
        <v>75</v>
      </c>
    </row>
    <row r="5" spans="1:5" x14ac:dyDescent="0.25">
      <c r="A5" s="4" t="s">
        <v>59</v>
      </c>
      <c r="B5" s="18">
        <v>1</v>
      </c>
      <c r="C5" s="12">
        <v>25</v>
      </c>
      <c r="D5" s="18">
        <v>6</v>
      </c>
      <c r="E5" s="2" t="s">
        <v>482</v>
      </c>
    </row>
    <row r="6" spans="1:5" x14ac:dyDescent="0.25">
      <c r="A6" s="4" t="s">
        <v>483</v>
      </c>
      <c r="B6" s="18">
        <v>2</v>
      </c>
      <c r="C6" s="12">
        <v>25</v>
      </c>
      <c r="D6" s="18">
        <v>6</v>
      </c>
      <c r="E6" s="2" t="s">
        <v>482</v>
      </c>
    </row>
    <row r="7" spans="1:5" x14ac:dyDescent="0.25">
      <c r="A7" s="4" t="s">
        <v>484</v>
      </c>
      <c r="B7" s="18">
        <v>8</v>
      </c>
      <c r="C7" s="12">
        <v>30</v>
      </c>
      <c r="D7" s="18">
        <v>6</v>
      </c>
      <c r="E7" s="2" t="s">
        <v>485</v>
      </c>
    </row>
    <row r="8" spans="1:5" x14ac:dyDescent="0.25">
      <c r="A8" s="4" t="s">
        <v>160</v>
      </c>
      <c r="B8" s="18">
        <v>2</v>
      </c>
      <c r="C8" s="12">
        <v>60</v>
      </c>
      <c r="D8" s="18">
        <v>6</v>
      </c>
      <c r="E8" s="2" t="s">
        <v>161</v>
      </c>
    </row>
    <row r="9" spans="1:5" x14ac:dyDescent="0.25">
      <c r="A9" s="4" t="s">
        <v>486</v>
      </c>
      <c r="B9" s="18">
        <v>1</v>
      </c>
      <c r="C9" s="12">
        <v>35</v>
      </c>
      <c r="D9" s="18">
        <v>6</v>
      </c>
      <c r="E9" s="2" t="s">
        <v>487</v>
      </c>
    </row>
    <row r="10" spans="1:5" x14ac:dyDescent="0.25">
      <c r="A10" s="4" t="s">
        <v>149</v>
      </c>
      <c r="B10" s="18">
        <v>1</v>
      </c>
      <c r="C10" s="12">
        <v>150</v>
      </c>
      <c r="D10" s="18">
        <v>4</v>
      </c>
      <c r="E10" s="2" t="s">
        <v>488</v>
      </c>
    </row>
    <row r="11" spans="1:5" x14ac:dyDescent="0.25">
      <c r="A11" s="4" t="s">
        <v>163</v>
      </c>
      <c r="B11" s="18">
        <v>6</v>
      </c>
      <c r="C11" s="12">
        <v>15</v>
      </c>
      <c r="D11" s="18">
        <v>6</v>
      </c>
      <c r="E11" s="2" t="s">
        <v>489</v>
      </c>
    </row>
    <row r="12" spans="1:5" x14ac:dyDescent="0.25">
      <c r="A12" s="4" t="s">
        <v>215</v>
      </c>
      <c r="B12" s="18">
        <v>6</v>
      </c>
      <c r="C12" s="12">
        <v>125</v>
      </c>
      <c r="D12" s="18">
        <v>3</v>
      </c>
      <c r="E12" s="2" t="s">
        <v>490</v>
      </c>
    </row>
    <row r="13" spans="1:5" x14ac:dyDescent="0.25">
      <c r="A13" s="4" t="s">
        <v>167</v>
      </c>
      <c r="B13" s="18">
        <v>1</v>
      </c>
      <c r="C13" s="12">
        <v>500</v>
      </c>
      <c r="D13" s="18">
        <v>1</v>
      </c>
      <c r="E13" s="2" t="s">
        <v>491</v>
      </c>
    </row>
    <row r="14" spans="1:5" x14ac:dyDescent="0.25">
      <c r="A14" s="4" t="s">
        <v>168</v>
      </c>
      <c r="B14" s="18">
        <v>2</v>
      </c>
      <c r="C14" s="12">
        <v>500</v>
      </c>
      <c r="D14" s="18">
        <v>1</v>
      </c>
      <c r="E14" s="2" t="s">
        <v>492</v>
      </c>
    </row>
    <row r="15" spans="1:5" x14ac:dyDescent="0.25">
      <c r="A15" s="4" t="s">
        <v>493</v>
      </c>
      <c r="B15" s="18">
        <v>7</v>
      </c>
      <c r="C15" s="7" t="s">
        <v>494</v>
      </c>
      <c r="D15" s="7" t="s">
        <v>494</v>
      </c>
      <c r="E15" s="2" t="s">
        <v>495</v>
      </c>
    </row>
    <row r="16" spans="1:5" x14ac:dyDescent="0.25">
      <c r="A16" s="4" t="s">
        <v>496</v>
      </c>
      <c r="B16" s="18">
        <v>40</v>
      </c>
      <c r="C16" s="7" t="s">
        <v>494</v>
      </c>
      <c r="D16" s="7" t="s">
        <v>494</v>
      </c>
      <c r="E16" s="2" t="s">
        <v>491</v>
      </c>
    </row>
    <row r="19" spans="1:5" ht="19.5" customHeight="1" x14ac:dyDescent="0.25">
      <c r="A19" s="79" t="s">
        <v>497</v>
      </c>
      <c r="B19" s="74"/>
      <c r="C19" s="74"/>
      <c r="D19" s="74"/>
      <c r="E19" s="75"/>
    </row>
    <row r="20" spans="1:5" x14ac:dyDescent="0.25">
      <c r="A20" s="43" t="s">
        <v>498</v>
      </c>
      <c r="B20" s="44">
        <v>1</v>
      </c>
      <c r="C20" s="45">
        <v>65000</v>
      </c>
      <c r="D20" s="5" t="s">
        <v>499</v>
      </c>
      <c r="E20" s="46" t="s">
        <v>500</v>
      </c>
    </row>
    <row r="21" spans="1:5" ht="15.75" customHeight="1" x14ac:dyDescent="0.25">
      <c r="A21" s="4" t="s">
        <v>501</v>
      </c>
      <c r="B21" s="18">
        <v>1</v>
      </c>
      <c r="C21" s="12">
        <v>50000</v>
      </c>
      <c r="D21" s="7" t="s">
        <v>499</v>
      </c>
      <c r="E21" s="2" t="s">
        <v>502</v>
      </c>
    </row>
    <row r="22" spans="1:5" ht="15.75" customHeight="1" x14ac:dyDescent="0.25">
      <c r="A22" s="4" t="s">
        <v>503</v>
      </c>
      <c r="B22" s="18">
        <v>1</v>
      </c>
      <c r="C22" s="12">
        <v>40000</v>
      </c>
      <c r="D22" s="7" t="s">
        <v>504</v>
      </c>
      <c r="E22" s="2" t="s">
        <v>505</v>
      </c>
    </row>
    <row r="23" spans="1:5" ht="15.75" customHeight="1" x14ac:dyDescent="0.25">
      <c r="A23" s="4" t="s">
        <v>506</v>
      </c>
      <c r="B23" s="18">
        <v>1</v>
      </c>
      <c r="C23" s="12">
        <v>18000</v>
      </c>
      <c r="D23" s="7" t="s">
        <v>507</v>
      </c>
      <c r="E23" s="2" t="s">
        <v>508</v>
      </c>
    </row>
    <row r="24" spans="1:5" ht="15.75" customHeight="1" x14ac:dyDescent="0.25">
      <c r="A24" s="4" t="s">
        <v>509</v>
      </c>
      <c r="B24" s="18">
        <v>1</v>
      </c>
      <c r="C24" s="12">
        <v>12000</v>
      </c>
      <c r="D24" s="7" t="s">
        <v>510</v>
      </c>
      <c r="E24" s="2" t="s">
        <v>511</v>
      </c>
    </row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E1"/>
    <mergeCell ref="A3:E3"/>
    <mergeCell ref="A19:E19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Cover &amp; Assumptions</vt:lpstr>
      <vt:lpstr>2. Initial Investment</vt:lpstr>
      <vt:lpstr>3. Rose Stadium Detail</vt:lpstr>
      <vt:lpstr>4. Year 1 Proforma</vt:lpstr>
      <vt:lpstr>5. 5-Year Forecast</vt:lpstr>
      <vt:lpstr>6. 10-Year Forecast</vt:lpstr>
      <vt:lpstr>Nates capital budgeting</vt:lpstr>
      <vt:lpstr>Nates screenshots</vt:lpstr>
      <vt:lpstr>7. Sponsorship Plan</vt:lpstr>
      <vt:lpstr>8. Market &amp; Catchment</vt:lpstr>
      <vt:lpstr>9. Additional Costs Checklist</vt:lpstr>
      <vt:lpstr>10. Required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Rhodus</dc:creator>
  <cp:lastModifiedBy>Currit, Nathan Allen</cp:lastModifiedBy>
  <dcterms:created xsi:type="dcterms:W3CDTF">2026-04-30T03:17:27Z</dcterms:created>
  <dcterms:modified xsi:type="dcterms:W3CDTF">2026-05-10T02:45:35Z</dcterms:modified>
</cp:coreProperties>
</file>